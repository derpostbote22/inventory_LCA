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202300"/>
  <mc:AlternateContent xmlns:mc="http://schemas.openxmlformats.org/markup-compatibility/2006">
    <mc:Choice Requires="x15">
      <x15ac:absPath xmlns:x15ac="http://schemas.microsoft.com/office/spreadsheetml/2010/11/ac" url="https://imperiallondon-my.sharepoint.com/personal/jt3022_ic_ac_uk/Documents/Output/Projects/7. LCSA for LCODR/Endspurt/"/>
    </mc:Choice>
  </mc:AlternateContent>
  <xr:revisionPtr revIDLastSave="3505" documentId="8_{A0230BFB-B8A9-468B-9218-87A916CDA860}" xr6:coauthVersionLast="47" xr6:coauthVersionMax="47" xr10:uidLastSave="{C7E2B5F0-F3CC-4E4E-B6EA-F3801CB2E6CD}"/>
  <bookViews>
    <workbookView xWindow="28695" yWindow="0" windowWidth="26010" windowHeight="20985" firstSheet="2" activeTab="10" xr2:uid="{24418078-04CF-413A-AD26-ABD790A45F2D}"/>
  </bookViews>
  <sheets>
    <sheet name="Overview" sheetId="13" r:id="rId1"/>
    <sheet name="PHES" sheetId="1" r:id="rId2"/>
    <sheet name="CAES" sheetId="5" r:id="rId3"/>
    <sheet name="Flywheel" sheetId="7" r:id="rId4"/>
    <sheet name="Li-ion (LFP)" sheetId="12" r:id="rId5"/>
    <sheet name="Na-ion (MMO)" sheetId="20" r:id="rId6"/>
    <sheet name="Lead acid" sheetId="4" r:id="rId7"/>
    <sheet name="VRFB" sheetId="6" r:id="rId8"/>
    <sheet name="Hydrogen" sheetId="9" r:id="rId9"/>
    <sheet name="Supercapacitor" sheetId="17" r:id="rId10"/>
    <sheet name="Results (c2gate)" sheetId="18"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88" i="20" l="1"/>
  <c r="H88" i="20"/>
  <c r="D77" i="20"/>
  <c r="D75" i="20"/>
  <c r="D37" i="20"/>
  <c r="D65" i="20"/>
  <c r="D64" i="20"/>
  <c r="D63" i="20"/>
  <c r="J64" i="20"/>
  <c r="J63" i="20"/>
  <c r="J62" i="20"/>
  <c r="J61" i="20"/>
  <c r="J60" i="20"/>
  <c r="J59" i="20"/>
  <c r="J58" i="20"/>
  <c r="J57" i="20"/>
  <c r="J56" i="20"/>
  <c r="J55" i="20"/>
  <c r="J54" i="20"/>
  <c r="J53" i="20"/>
  <c r="J52" i="20"/>
  <c r="J51" i="20"/>
  <c r="J50" i="20"/>
  <c r="J49" i="20"/>
  <c r="J48" i="20"/>
  <c r="J47" i="20"/>
  <c r="J30" i="20"/>
  <c r="J29" i="20"/>
  <c r="J28" i="20"/>
  <c r="J27" i="20"/>
  <c r="J26" i="20"/>
  <c r="J25" i="20"/>
  <c r="J24" i="20"/>
  <c r="J23" i="20"/>
  <c r="J22" i="20"/>
  <c r="J21" i="20"/>
  <c r="J20" i="20"/>
  <c r="J19" i="20"/>
  <c r="J18" i="20"/>
  <c r="J17" i="20"/>
  <c r="J16" i="20"/>
  <c r="J15" i="20"/>
  <c r="J14" i="20"/>
  <c r="J13" i="20"/>
  <c r="J12" i="12"/>
  <c r="J48" i="12"/>
  <c r="J49" i="12"/>
  <c r="J50" i="12"/>
  <c r="J51" i="12"/>
  <c r="J52" i="12"/>
  <c r="J53" i="12"/>
  <c r="J54" i="12"/>
  <c r="J55" i="12"/>
  <c r="J56" i="12"/>
  <c r="J57" i="12"/>
  <c r="J58" i="12"/>
  <c r="J59" i="12"/>
  <c r="J60" i="12"/>
  <c r="J61" i="12"/>
  <c r="J62" i="12"/>
  <c r="J63" i="12"/>
  <c r="J64" i="12"/>
  <c r="J65" i="12"/>
  <c r="J47" i="17"/>
  <c r="D36" i="17"/>
  <c r="X76" i="17"/>
  <c r="X74" i="17"/>
  <c r="I120" i="12"/>
  <c r="H120" i="12"/>
  <c r="J63" i="17"/>
  <c r="J62" i="17"/>
  <c r="J61" i="17"/>
  <c r="J60" i="17"/>
  <c r="J59" i="17"/>
  <c r="J58" i="17"/>
  <c r="J57" i="17"/>
  <c r="J56" i="17"/>
  <c r="J55" i="17"/>
  <c r="J54" i="17"/>
  <c r="J53" i="17"/>
  <c r="J52" i="17"/>
  <c r="J51" i="17"/>
  <c r="J50" i="17"/>
  <c r="J49" i="17"/>
  <c r="J48" i="17"/>
  <c r="J46" i="17"/>
  <c r="J29" i="17"/>
  <c r="J28" i="17"/>
  <c r="J27" i="17"/>
  <c r="J26" i="17"/>
  <c r="J25" i="17"/>
  <c r="J24" i="17"/>
  <c r="J23" i="17"/>
  <c r="J22" i="17"/>
  <c r="J21" i="17"/>
  <c r="J20" i="17"/>
  <c r="J19" i="17"/>
  <c r="J18" i="17"/>
  <c r="J17" i="17"/>
  <c r="J16" i="17"/>
  <c r="J15" i="17"/>
  <c r="J14" i="17"/>
  <c r="J13" i="17"/>
  <c r="J12" i="17"/>
  <c r="J37" i="7"/>
  <c r="D110" i="12"/>
  <c r="D107" i="12"/>
  <c r="H106" i="12"/>
  <c r="H110" i="12"/>
  <c r="L65" i="12"/>
  <c r="L64" i="12"/>
  <c r="L63" i="12"/>
  <c r="L62" i="12"/>
  <c r="L61" i="12"/>
  <c r="L60" i="12"/>
  <c r="L59" i="12"/>
  <c r="L58" i="12"/>
  <c r="L57" i="12"/>
  <c r="L56" i="12"/>
  <c r="L55" i="12"/>
  <c r="L54" i="12"/>
  <c r="L53" i="12"/>
  <c r="L52" i="12"/>
  <c r="L51" i="12"/>
  <c r="L50" i="12"/>
  <c r="L49" i="12"/>
  <c r="L48" i="12"/>
  <c r="L29" i="12"/>
  <c r="J29" i="12"/>
  <c r="L28" i="12"/>
  <c r="J28" i="12"/>
  <c r="L27" i="12"/>
  <c r="J27" i="12"/>
  <c r="L26" i="12"/>
  <c r="J26" i="12"/>
  <c r="L25" i="12"/>
  <c r="J25" i="12"/>
  <c r="L24" i="12"/>
  <c r="J24" i="12"/>
  <c r="L23" i="12"/>
  <c r="J23" i="12"/>
  <c r="L22" i="12"/>
  <c r="J22" i="12"/>
  <c r="L21" i="12"/>
  <c r="J21" i="12"/>
  <c r="L20" i="12"/>
  <c r="J20" i="12"/>
  <c r="L19" i="12"/>
  <c r="J19" i="12"/>
  <c r="L18" i="12"/>
  <c r="J18" i="12"/>
  <c r="L17" i="12"/>
  <c r="J17" i="12"/>
  <c r="L16" i="12"/>
  <c r="J16" i="12"/>
  <c r="L15" i="12"/>
  <c r="J15" i="12"/>
  <c r="L14" i="12"/>
  <c r="J14" i="12"/>
  <c r="L13" i="12"/>
  <c r="J13" i="12"/>
  <c r="L12" i="12"/>
  <c r="J15" i="9"/>
  <c r="J16" i="9"/>
  <c r="J17" i="9"/>
  <c r="J18" i="9"/>
  <c r="J19" i="9"/>
  <c r="J20" i="9"/>
  <c r="J21" i="9"/>
  <c r="J22" i="9"/>
  <c r="J23" i="9"/>
  <c r="J24" i="9"/>
  <c r="J25" i="9"/>
  <c r="J26" i="9"/>
  <c r="J27" i="9"/>
  <c r="J28" i="9"/>
  <c r="J29" i="9"/>
  <c r="J30" i="9"/>
  <c r="J31" i="9"/>
  <c r="J14" i="9"/>
  <c r="J89" i="9"/>
  <c r="J90" i="9"/>
  <c r="J91" i="9"/>
  <c r="J106" i="9"/>
  <c r="J105" i="9"/>
  <c r="J104" i="9"/>
  <c r="J103" i="9"/>
  <c r="J102" i="9"/>
  <c r="J101" i="9"/>
  <c r="J100" i="9"/>
  <c r="J99" i="9"/>
  <c r="J98" i="9"/>
  <c r="J97" i="9"/>
  <c r="J96" i="9"/>
  <c r="J95" i="9"/>
  <c r="J94" i="9"/>
  <c r="J93" i="9"/>
  <c r="J92" i="9"/>
  <c r="J41" i="7"/>
  <c r="J42" i="7"/>
  <c r="J43" i="7"/>
  <c r="J44" i="7"/>
  <c r="J45" i="7"/>
  <c r="J46" i="7"/>
  <c r="J47" i="7"/>
  <c r="J48" i="7"/>
  <c r="J49" i="7"/>
  <c r="J50" i="7"/>
  <c r="J51" i="7"/>
  <c r="J52" i="7"/>
  <c r="J53" i="7"/>
  <c r="J54" i="7"/>
  <c r="J40" i="7"/>
  <c r="J39" i="7"/>
  <c r="J38" i="7"/>
  <c r="J24" i="7"/>
  <c r="J23" i="7"/>
  <c r="J22" i="7"/>
  <c r="J21" i="7"/>
  <c r="J20" i="7"/>
  <c r="J19" i="7"/>
  <c r="J11" i="7"/>
  <c r="J28" i="7"/>
  <c r="J27" i="7"/>
  <c r="J26" i="7"/>
  <c r="J25" i="7"/>
  <c r="J18" i="7"/>
  <c r="J17" i="7"/>
  <c r="J16" i="7"/>
  <c r="J15" i="7"/>
  <c r="J14" i="7"/>
  <c r="J13" i="7"/>
  <c r="J12" i="7"/>
  <c r="L49" i="6"/>
  <c r="L50" i="6"/>
  <c r="L51" i="6"/>
  <c r="L52" i="6"/>
  <c r="L53" i="6"/>
  <c r="L54" i="6"/>
  <c r="L55" i="6"/>
  <c r="L56" i="6"/>
  <c r="L57" i="6"/>
  <c r="L58" i="6"/>
  <c r="L59" i="6"/>
  <c r="L60" i="6"/>
  <c r="L61" i="6"/>
  <c r="L62" i="6"/>
  <c r="L63" i="6"/>
  <c r="L64" i="6"/>
  <c r="L65" i="6"/>
  <c r="L48" i="6"/>
  <c r="L13" i="6"/>
  <c r="L14" i="6"/>
  <c r="L15" i="6"/>
  <c r="L16" i="6"/>
  <c r="L17" i="6"/>
  <c r="L18" i="6"/>
  <c r="L19" i="6"/>
  <c r="L20" i="6"/>
  <c r="L21" i="6"/>
  <c r="L22" i="6"/>
  <c r="L23" i="6"/>
  <c r="L24" i="6"/>
  <c r="L25" i="6"/>
  <c r="L26" i="6"/>
  <c r="L27" i="6"/>
  <c r="L28" i="6"/>
  <c r="L29" i="6"/>
  <c r="L12" i="6"/>
  <c r="J65" i="6"/>
  <c r="J64" i="6"/>
  <c r="J63" i="6"/>
  <c r="J62" i="6"/>
  <c r="J61" i="6"/>
  <c r="J60" i="6"/>
  <c r="J59" i="6"/>
  <c r="J58" i="6"/>
  <c r="J57" i="6"/>
  <c r="J56" i="6"/>
  <c r="J55" i="6"/>
  <c r="J54" i="6"/>
  <c r="J53" i="6"/>
  <c r="J52" i="6"/>
  <c r="J51" i="6"/>
  <c r="J50" i="6"/>
  <c r="J49" i="6"/>
  <c r="J48" i="6"/>
  <c r="J29" i="6"/>
  <c r="J28" i="6"/>
  <c r="J27" i="6"/>
  <c r="J26" i="6"/>
  <c r="J25" i="6"/>
  <c r="J24" i="6"/>
  <c r="J23" i="6"/>
  <c r="J22" i="6"/>
  <c r="J21" i="6"/>
  <c r="J20" i="6"/>
  <c r="J19" i="6"/>
  <c r="J18" i="6"/>
  <c r="J17" i="6"/>
  <c r="J16" i="6"/>
  <c r="J15" i="6"/>
  <c r="J14" i="6"/>
  <c r="J13" i="6"/>
  <c r="J12" i="6"/>
  <c r="J45" i="5"/>
  <c r="J46" i="5"/>
  <c r="J47" i="5"/>
  <c r="J48" i="5"/>
  <c r="J49" i="5"/>
  <c r="J50" i="5"/>
  <c r="J51" i="5"/>
  <c r="J52" i="5"/>
  <c r="J53" i="5"/>
  <c r="J54" i="5"/>
  <c r="J55" i="5"/>
  <c r="J56" i="5"/>
  <c r="J57" i="5"/>
  <c r="J58" i="5"/>
  <c r="J59" i="5"/>
  <c r="J60" i="5"/>
  <c r="J61" i="5"/>
  <c r="J44" i="5"/>
  <c r="J16" i="5"/>
  <c r="J17" i="5"/>
  <c r="J18" i="5"/>
  <c r="J19" i="5"/>
  <c r="J20" i="5"/>
  <c r="J21" i="5"/>
  <c r="J22" i="5"/>
  <c r="J23" i="5"/>
  <c r="J24" i="5"/>
  <c r="J25" i="5"/>
  <c r="J26" i="5"/>
  <c r="J27" i="5"/>
  <c r="J28" i="5"/>
  <c r="J29" i="5"/>
  <c r="J15" i="5"/>
  <c r="J14" i="5"/>
  <c r="J13" i="5"/>
  <c r="J12" i="5"/>
  <c r="J47" i="4"/>
  <c r="J46" i="4"/>
  <c r="J45" i="4"/>
  <c r="J44" i="4"/>
  <c r="J43" i="4"/>
  <c r="J42" i="4"/>
  <c r="J41" i="4"/>
  <c r="J40" i="4"/>
  <c r="J39" i="4"/>
  <c r="J38" i="4"/>
  <c r="J48" i="4"/>
  <c r="J55" i="4"/>
  <c r="J54" i="4"/>
  <c r="J53" i="4"/>
  <c r="J52" i="4"/>
  <c r="J51" i="4"/>
  <c r="J50" i="4"/>
  <c r="J49" i="4"/>
  <c r="J29" i="4"/>
  <c r="J28" i="4"/>
  <c r="J27" i="4"/>
  <c r="J26" i="4"/>
  <c r="J25" i="4"/>
  <c r="J24" i="4"/>
  <c r="J23" i="4"/>
  <c r="J22" i="4"/>
  <c r="J21" i="4"/>
  <c r="J20" i="4"/>
  <c r="J19" i="4"/>
  <c r="J18" i="4"/>
  <c r="J17" i="4"/>
  <c r="J16" i="4"/>
  <c r="J15" i="4"/>
  <c r="J14" i="4"/>
  <c r="J13" i="4"/>
  <c r="J12" i="4"/>
  <c r="J39" i="1"/>
  <c r="J40" i="1"/>
  <c r="J41" i="1"/>
  <c r="J42" i="1"/>
  <c r="J43" i="1"/>
  <c r="J44" i="1"/>
  <c r="J45" i="1"/>
  <c r="J46" i="1"/>
  <c r="J47" i="1"/>
  <c r="J48" i="1"/>
  <c r="J49" i="1"/>
  <c r="J50" i="1"/>
  <c r="J51" i="1"/>
  <c r="J52" i="1"/>
  <c r="J53" i="1"/>
  <c r="J54" i="1"/>
  <c r="J55" i="1"/>
  <c r="J38" i="1"/>
  <c r="J29" i="1"/>
  <c r="J28" i="1"/>
  <c r="J27" i="1"/>
  <c r="J26" i="1"/>
  <c r="J25" i="1"/>
  <c r="J24" i="1"/>
  <c r="J23" i="1"/>
  <c r="J22" i="1"/>
  <c r="J21" i="1"/>
  <c r="J20" i="1"/>
  <c r="J19" i="1"/>
  <c r="J18" i="1"/>
  <c r="J17" i="1"/>
  <c r="J16" i="1"/>
  <c r="J15" i="1"/>
  <c r="J14" i="1"/>
  <c r="J13" i="1"/>
  <c r="J12" i="1"/>
</calcChain>
</file>

<file path=xl/sharedStrings.xml><?xml version="1.0" encoding="utf-8"?>
<sst xmlns="http://schemas.openxmlformats.org/spreadsheetml/2006/main" count="3719" uniqueCount="752">
  <si>
    <t>Inventory - Power</t>
  </si>
  <si>
    <t>Inventory - Energy</t>
  </si>
  <si>
    <t>Inventory taken from:</t>
  </si>
  <si>
    <r>
      <t>Kapila, S., Oni, A. O., Gemechu, E. D., &amp; Kumar, A. (2019). Development of net energy ratios and life cycle greenhouse gas emissions of large-scale mechanical energy storage systems. </t>
    </r>
    <r>
      <rPr>
        <i/>
        <sz val="10"/>
        <color rgb="FF222222"/>
        <rFont val="Arial"/>
        <family val="2"/>
      </rPr>
      <t>Energy</t>
    </r>
    <r>
      <rPr>
        <sz val="10"/>
        <color rgb="FF222222"/>
        <rFont val="Arial"/>
        <family val="2"/>
      </rPr>
      <t>, </t>
    </r>
    <r>
      <rPr>
        <i/>
        <sz val="10"/>
        <color rgb="FF222222"/>
        <rFont val="Arial"/>
        <family val="2"/>
      </rPr>
      <t>170</t>
    </r>
    <r>
      <rPr>
        <sz val="10"/>
        <color rgb="FF222222"/>
        <rFont val="Arial"/>
        <family val="2"/>
      </rPr>
      <t>, 592-603.</t>
    </r>
  </si>
  <si>
    <t>Kapila, S. (2018). Techno-economic and life cycle assessment of large energy storage systems.</t>
  </si>
  <si>
    <t>Charge power capacity (if different):</t>
  </si>
  <si>
    <t>Discharge power capacity:</t>
  </si>
  <si>
    <t>Raw material, processing, and assembly</t>
  </si>
  <si>
    <t>-</t>
  </si>
  <si>
    <t>Component</t>
  </si>
  <si>
    <t>Material/process</t>
  </si>
  <si>
    <t>Amount</t>
  </si>
  <si>
    <t>Unit</t>
  </si>
  <si>
    <t>End-of-life / waste management</t>
  </si>
  <si>
    <t>Discharge energy capacity:</t>
  </si>
  <si>
    <t>Nominal energy capacity (if stated):</t>
  </si>
  <si>
    <t>Impacts - Power</t>
  </si>
  <si>
    <t>Impact type</t>
  </si>
  <si>
    <t>Total impact</t>
  </si>
  <si>
    <t>Impact assessment method</t>
  </si>
  <si>
    <t>Specific impact/kWh (discharge capacity)</t>
  </si>
  <si>
    <t>ReCiPe 2016 Midpoint (H)</t>
  </si>
  <si>
    <t>Dams</t>
  </si>
  <si>
    <t>kg</t>
  </si>
  <si>
    <t>Explosives</t>
  </si>
  <si>
    <t>Reservoirs</t>
  </si>
  <si>
    <t>L</t>
  </si>
  <si>
    <t>MJ</t>
  </si>
  <si>
    <t>m2</t>
  </si>
  <si>
    <t>Transportation</t>
  </si>
  <si>
    <t>Facility construction</t>
  </si>
  <si>
    <t>Pump-turbine</t>
  </si>
  <si>
    <t>Penstock</t>
  </si>
  <si>
    <t>Anchors</t>
  </si>
  <si>
    <t>Motor/generator</t>
  </si>
  <si>
    <t>118 MW</t>
  </si>
  <si>
    <t>Discharge power capacity (kW):</t>
  </si>
  <si>
    <t>Specific impact/kW (discharge capacity)</t>
  </si>
  <si>
    <t>Discharge energy capacity (kWh):</t>
  </si>
  <si>
    <t>Global warming</t>
  </si>
  <si>
    <t>kg CO2 eq</t>
  </si>
  <si>
    <t>Stratospheric ozone depletion</t>
  </si>
  <si>
    <t>kg CFC11 eq</t>
  </si>
  <si>
    <t>Ionizing radiation</t>
  </si>
  <si>
    <t>kBq Co-60 eq</t>
  </si>
  <si>
    <t>Ozone formation, Human health</t>
  </si>
  <si>
    <t>kg NOx eq</t>
  </si>
  <si>
    <t>Fine particulate matter formation</t>
  </si>
  <si>
    <t>kg PM2.5 eq</t>
  </si>
  <si>
    <t>Ozone formation, Terrestrial ecosystems</t>
  </si>
  <si>
    <t>Terrestrial acidification</t>
  </si>
  <si>
    <t>kg SO2 eq</t>
  </si>
  <si>
    <t>Freshwater eutrophication</t>
  </si>
  <si>
    <t>kg P eq</t>
  </si>
  <si>
    <t>Marine eutrophication</t>
  </si>
  <si>
    <t>kg N eq</t>
  </si>
  <si>
    <t>Terrestrial ecotoxicity</t>
  </si>
  <si>
    <t>kg 1,4-DCB</t>
  </si>
  <si>
    <t>Freshwater ecotoxicity</t>
  </si>
  <si>
    <t>Marine ecotoxicity</t>
  </si>
  <si>
    <t>Human carcinogenic toxicity</t>
  </si>
  <si>
    <t>Human non-carcinogenic toxicity</t>
  </si>
  <si>
    <t>Land use</t>
  </si>
  <si>
    <t>m2a crop eq</t>
  </si>
  <si>
    <t>Mineral resource scarcity</t>
  </si>
  <si>
    <t>kg Cu eq</t>
  </si>
  <si>
    <t>Fossil resource scarcity</t>
  </si>
  <si>
    <t>kg oil eq</t>
  </si>
  <si>
    <t>Water consumption</t>
  </si>
  <si>
    <t>m3</t>
  </si>
  <si>
    <t>Impacts - Energy</t>
  </si>
  <si>
    <t>Scope:</t>
  </si>
  <si>
    <t>Cradle-to-grave</t>
  </si>
  <si>
    <t>390.1 MWh</t>
  </si>
  <si>
    <t>Concrete block {GLO}| market for concrete block | Cut-off, S</t>
  </si>
  <si>
    <t>Explosive, tovex {GLO}| market for explosive, tovex | Cut-off, S</t>
  </si>
  <si>
    <t>Diesel, burned in building machine {GLO}| market for diesel, burned in building machine | Cut-off, S</t>
  </si>
  <si>
    <t>Electricity, medium voltage {GLO}| market group for electricity, medium voltage | Cut-off, S</t>
  </si>
  <si>
    <t>Transformation, to industrial area, vegetation</t>
  </si>
  <si>
    <t>Copper {GLO}| market for copper | Cut-off, S</t>
  </si>
  <si>
    <t>Steel, low-alloyed {GLO}| market for steel, low-alloyed | Cut-off, S</t>
  </si>
  <si>
    <t>Reinforcing steel {GLO}| market for reinforcing steel | Cut-off, S</t>
  </si>
  <si>
    <t>Steel, chromium steel 18/8 {GLO}| market for steel, chromium steel 18/8 | Cut-off, S</t>
  </si>
  <si>
    <t>Cast iron {GLO}| market for cast iron | Cut-off, S</t>
  </si>
  <si>
    <t>Notes:</t>
  </si>
  <si>
    <t>Raw materials, processing, and assembly do not contain any transport processes because these were translated into energy requirements instead by the source papers.</t>
  </si>
  <si>
    <t>Cradle-to-gate</t>
  </si>
  <si>
    <t>Inverter, 2.5kW {GLO}| market for inverter, 2.5kW | Cut-off, S</t>
  </si>
  <si>
    <t>p</t>
  </si>
  <si>
    <t>Aluminium, cast alloy {GLO}| aluminium ingot, primary, to aluminium, cast alloy market | Cut-off, S</t>
  </si>
  <si>
    <t>Calcium carbide, technical grade {RoW}| calcium carbide production, technical grade | Cut-off, S</t>
  </si>
  <si>
    <t>Carbon black {GLO}| carbon black production | Cut-off, S</t>
  </si>
  <si>
    <t>Copper, cathode {GLO}| copper production, cathode, solvent extraction and electrowinning process | Cut-off, S</t>
  </si>
  <si>
    <t>Integrated circuit, logic type {GLO}| integrated circuit production, logic type | Cut-off, S</t>
  </si>
  <si>
    <t>Printed wiring board, through-hole mounted, unspecified, Pb free {GLO}| printed wiring board production, through-hole mounted, unspecified, Pb free | Cut-off, S</t>
  </si>
  <si>
    <t>Gold {RoW}| gold-silver mine operation with refinery | Cut-off, S</t>
  </si>
  <si>
    <t>Tin {RoW}| tin production | Cut-off, S</t>
  </si>
  <si>
    <t>Electricity, medium voltage {CN}| market group for electricity, medium voltage | Cut-off, S</t>
  </si>
  <si>
    <t>Glass fibre {RoW}| glass fibre production | Cut-off, S</t>
  </si>
  <si>
    <t>Heat, district or industrial, natural gas {RoW}| heat production, natural gas, at industrial furnace &gt;100kW | Cut-off, S</t>
  </si>
  <si>
    <t>Heavy fuel oil, burned in refinery furnace {RoW}| heavy fuel oil, burned in refinery furnace | Cut-off, S</t>
  </si>
  <si>
    <t>Polypropylene, granulate {RoW}| polypropylene production, granulate | Cut-off, S</t>
  </si>
  <si>
    <t>Barite {RoW}| barite production | Cut-off, S</t>
  </si>
  <si>
    <t>Lead {GLO}| primary lead production from concentrate | Cut-off, S</t>
  </si>
  <si>
    <t>Sulfate pulp, unbleached {RoW}| sulfate pulp production, from softwood, unbleached | Cut-off, S</t>
  </si>
  <si>
    <t>Sulfuric acid {RoW}| market for sulfuric acid | Cut-off, S</t>
  </si>
  <si>
    <t>Water, deionised {RoW}| water production, deionised | Cut-off, S</t>
  </si>
  <si>
    <t>5 kW</t>
  </si>
  <si>
    <t>20 kWh</t>
  </si>
  <si>
    <r>
      <t>Yudhistira, R., Khatiwada, D., &amp; Sanchez, F. (2022). A comparative life cycle assessment of lithium-ion and lead-acid batteries for grid energy storage. </t>
    </r>
    <r>
      <rPr>
        <i/>
        <sz val="10"/>
        <color rgb="FF222222"/>
        <rFont val="Arial"/>
        <family val="2"/>
      </rPr>
      <t>Journal of Cleaner Production</t>
    </r>
    <r>
      <rPr>
        <sz val="10"/>
        <color rgb="FF222222"/>
        <rFont val="Arial"/>
        <family val="2"/>
      </rPr>
      <t>, </t>
    </r>
    <r>
      <rPr>
        <i/>
        <sz val="10"/>
        <color rgb="FF222222"/>
        <rFont val="Arial"/>
        <family val="2"/>
      </rPr>
      <t>358</t>
    </r>
    <r>
      <rPr>
        <sz val="10"/>
        <color rgb="FF222222"/>
        <rFont val="Arial"/>
        <family val="2"/>
      </rPr>
      <t>, 131999.</t>
    </r>
  </si>
  <si>
    <t>Inventory adapted from:</t>
  </si>
  <si>
    <t>Inventory - classification</t>
  </si>
  <si>
    <t>Acrylonitrile {GLO}| market for acrylonitrile | Cut-off, S</t>
  </si>
  <si>
    <t>Aluminium, cast alloy {GLO}| aluminium ingot, primary, production | Cut-off, S</t>
  </si>
  <si>
    <t>Calcium carbide, technical grade {RoW}| calcium carbide production | Cut-off, S</t>
  </si>
  <si>
    <r>
      <t xml:space="preserve">Copper, cathode {GLO}| copper production, cathode, smelting </t>
    </r>
    <r>
      <rPr>
        <i/>
        <sz val="11"/>
        <color theme="1"/>
        <rFont val="Aptos Narrow"/>
        <family val="2"/>
        <scheme val="minor"/>
      </rPr>
      <t>(or solvent extraction/electrowinning)</t>
    </r>
    <r>
      <rPr>
        <sz val="11"/>
        <color theme="1"/>
        <rFont val="Aptos Narrow"/>
        <family val="2"/>
        <scheme val="minor"/>
      </rPr>
      <t xml:space="preserve"> | Cut-off, S</t>
    </r>
  </si>
  <si>
    <t>Printed wiring board, through-hole mounted, unspecified {GLO}| printed wiring board production, through-hole mounted, unspecified | Cut-off, S</t>
  </si>
  <si>
    <t>Sulfate pulp, unbleached {RoW}| sulfate pulp production, unbleached | Cut-off, S</t>
  </si>
  <si>
    <t>Generic</t>
  </si>
  <si>
    <t>Power</t>
  </si>
  <si>
    <t>Energy</t>
  </si>
  <si>
    <t>Generic component split (E/P): 41.8</t>
  </si>
  <si>
    <t>Acrylonitrile-butadiene-styrene copolymer {RoW}| acrylonitrile-butadiene-styrene copolymer production | Cut-off, S</t>
  </si>
  <si>
    <t>Classification</t>
  </si>
  <si>
    <t>Spanos, C., Turney, D. E., &amp; Fthenakis, V. (2015). Life-cycle analysis of flow-assisted nickel zinc-, manganese dioxide-, and valve-regulated lead-acid batteries designed for demand-charge reduction. Renewable and Sustainable Energy Reviews, 43, 478-494.</t>
  </si>
  <si>
    <r>
      <t>Lucas, M., Komesse, H. B., Duval—Dachary, S., &amp; Teixeira, D. (2025). Comparative Environmental Impact Assessment of a Daily Electricity Restitution Operated by Advanced Adiabatic Compressed Air Energy Storage Systems (A‐CAES). </t>
    </r>
    <r>
      <rPr>
        <i/>
        <sz val="10"/>
        <color rgb="FF222222"/>
        <rFont val="Arial"/>
        <family val="2"/>
      </rPr>
      <t>Energy Storage</t>
    </r>
    <r>
      <rPr>
        <sz val="10"/>
        <color rgb="FF222222"/>
        <rFont val="Arial"/>
        <family val="2"/>
      </rPr>
      <t>, </t>
    </r>
    <r>
      <rPr>
        <i/>
        <sz val="10"/>
        <color rgb="FF222222"/>
        <rFont val="Arial"/>
        <family val="2"/>
      </rPr>
      <t>7</t>
    </r>
    <r>
      <rPr>
        <sz val="10"/>
        <color rgb="FF222222"/>
        <rFont val="Arial"/>
        <family val="2"/>
      </rPr>
      <t>(4), e70194.</t>
    </r>
  </si>
  <si>
    <t>(Energy)</t>
  </si>
  <si>
    <t>(Power)</t>
  </si>
  <si>
    <r>
      <t>Bouman, E. A., Øberg, M. M., &amp; Hertwich, E. G. (2016). Environmental impacts of balancing offshore wind power with compressed air energy storage (CAES). </t>
    </r>
    <r>
      <rPr>
        <i/>
        <sz val="10"/>
        <color rgb="FF222222"/>
        <rFont val="Arial"/>
        <family val="2"/>
      </rPr>
      <t>Energy</t>
    </r>
    <r>
      <rPr>
        <sz val="10"/>
        <color rgb="FF222222"/>
        <rFont val="Arial"/>
        <family val="2"/>
      </rPr>
      <t>, </t>
    </r>
    <r>
      <rPr>
        <i/>
        <sz val="10"/>
        <color rgb="FF222222"/>
        <rFont val="Arial"/>
        <family val="2"/>
      </rPr>
      <t>95</t>
    </r>
    <r>
      <rPr>
        <sz val="10"/>
        <color rgb="FF222222"/>
        <rFont val="Arial"/>
        <family val="2"/>
      </rPr>
      <t>, 91-98.</t>
    </r>
  </si>
  <si>
    <t>Salt cavern</t>
  </si>
  <si>
    <t>Reinforcing steel {RER}| reinforcing steel production | Cut-off, S</t>
  </si>
  <si>
    <t>Lean concrete {CH}| market for lean concrete | Cut-off, S</t>
  </si>
  <si>
    <t>Steel, low-alloyed {RoW}| steel production, electric, low-alloyed | Cut-off, S</t>
  </si>
  <si>
    <t>Electricity, medium voltage {FR}| market for electricity, medium voltage | Cut-off, S</t>
  </si>
  <si>
    <t>Sheet rolling, steel {RER}| sheet rolling, steel | Cut-off, S</t>
  </si>
  <si>
    <t>Gravel, crushed {RoW}| market for gravel, crushed | Cut-off, S</t>
  </si>
  <si>
    <t>Thermal energy storage</t>
  </si>
  <si>
    <t>Sheet rolling, steel {GLO}| market for sheet rolling, steel | Cut-off, S</t>
  </si>
  <si>
    <t>Steel, low-alloyed {RER}| steel production, electric, low-alloyed | Cut-off, S</t>
  </si>
  <si>
    <t>Air coolers and other elements</t>
  </si>
  <si>
    <t>Steel, unalloyed {GLO}| market for steel, unalloyed | Cut-off, S</t>
  </si>
  <si>
    <t>Rock wool {GLO}| market for | Cut-off, S</t>
  </si>
  <si>
    <t>Wire drawing, copper {GLO}| market for wire drawing, copper | Cut-off, S</t>
  </si>
  <si>
    <t>Generator, 200kW electrical {RER}| generator production, 200kW electrical | Cut-off, S</t>
  </si>
  <si>
    <t>Copper, cathode {RER}| treatment of copper scrap by electrolytic refining | Cut-off, S</t>
  </si>
  <si>
    <t>Compressor, turbin, and generator</t>
  </si>
  <si>
    <t xml:space="preserve">Calculation: </t>
  </si>
  <si>
    <t>Compare</t>
  </si>
  <si>
    <t xml:space="preserve">Results: </t>
  </si>
  <si>
    <t>Impact assessment</t>
  </si>
  <si>
    <t xml:space="preserve">Product 1: </t>
  </si>
  <si>
    <t xml:space="preserve">Product 2: </t>
  </si>
  <si>
    <t xml:space="preserve">Method: </t>
  </si>
  <si>
    <t>ReCiPe 2016 Midpoint (H) V1.12 / World (2010) H</t>
  </si>
  <si>
    <t xml:space="preserve">Indicator: </t>
  </si>
  <si>
    <t>Characterisation</t>
  </si>
  <si>
    <t xml:space="preserve">Skip categories: </t>
  </si>
  <si>
    <t>Never</t>
  </si>
  <si>
    <t xml:space="preserve">Exclude infrastructure processes: </t>
  </si>
  <si>
    <t>No</t>
  </si>
  <si>
    <t xml:space="preserve">Exclude long-term emissions: </t>
  </si>
  <si>
    <t xml:space="preserve">Sorted on item: </t>
  </si>
  <si>
    <t>Impact category</t>
  </si>
  <si>
    <t xml:space="preserve">Sort order: </t>
  </si>
  <si>
    <t>Ascending</t>
  </si>
  <si>
    <t>600MWh</t>
  </si>
  <si>
    <t>450MWh</t>
  </si>
  <si>
    <t>10MW</t>
  </si>
  <si>
    <t xml:space="preserve">Product 3: </t>
  </si>
  <si>
    <t>Sub-assembly - Nafion membrane</t>
  </si>
  <si>
    <t>Chemical factory, organics {GLO}| market for | Cut-off, U</t>
  </si>
  <si>
    <t>Item(s)</t>
  </si>
  <si>
    <t>Heat, district or industrial, natural gas {RoW}| market for heat, district or industrial, natural gas | Cut-off, U</t>
  </si>
  <si>
    <t>Hexafluoroethane {GLO}| market for | Cut-off, U</t>
  </si>
  <si>
    <t>Soda ash, dense {GLO}| market for | Cut-off, U</t>
  </si>
  <si>
    <t>Sodium hydroxide, without water, in 50% solution state {GLO}| market for | Cut-off, U</t>
  </si>
  <si>
    <t>Sodium hypochlorite, without water, in 15% solution state {RoW}| market for sodium hypochlorite, without water, in 15% solution state | Cut-off, U</t>
  </si>
  <si>
    <t>Sulfur trioxide {RoW}| market for sulfur trioxide | Cut-off, U</t>
  </si>
  <si>
    <t>Tetrafluoroethylene {GLO}| market for | Cut-off, U</t>
  </si>
  <si>
    <t>Transport, freight train {CN}| market for | Cut-off, U</t>
  </si>
  <si>
    <t>t∙km</t>
  </si>
  <si>
    <t>Transport, freight, lorry 16-32 metric ton, euro6 {RoW}| market for transport, freight, lorry 16-32 metric ton, EURO6 | Cut-off, U</t>
  </si>
  <si>
    <t>Outputs</t>
  </si>
  <si>
    <t>Nafion membrane, VRB</t>
  </si>
  <si>
    <t>Sodium fluoride</t>
  </si>
  <si>
    <t>Carbon dioxide, to air</t>
  </si>
  <si>
    <t>Sodium chloride, to water</t>
  </si>
  <si>
    <t>Sodium hydroxide, to water</t>
  </si>
  <si>
    <t>Bilge oil {RoW}| market for bilge oil | Cut-off, U, waste to treatment</t>
  </si>
  <si>
    <t>Spent solvent mixture {RoW}| market for spent solvent mixture | Cut-off, U, waste to treatment</t>
  </si>
  <si>
    <t>Waste plastic, consumer electronics, unsorted {RoW}| market for waste plastic, consumer electronics, unsorted | Cut-off, U, waste to treatment</t>
  </si>
  <si>
    <t>Sub-assembly - Raw carbon felt</t>
  </si>
  <si>
    <t>Ammonia, liquid {RoW}| market for | Cut-off, U</t>
  </si>
  <si>
    <t>Core board {GLO}| market for | Cut-off, U</t>
  </si>
  <si>
    <t>Electricity, medium voltage {GLO}| market group for | Cut-off, U</t>
  </si>
  <si>
    <t>kWh</t>
  </si>
  <si>
    <t>EUR-flat pallet {GLO}| market for | Cut-off, U</t>
  </si>
  <si>
    <t>Heat, district or industrial, other than natural gas {RoW}| market for | Cut-off, U</t>
  </si>
  <si>
    <t>Heat, from steam, in chemical industry {RoW}| market for heat, from steam, in chemical industry | Cut-off, U</t>
  </si>
  <si>
    <t>Lubricating oil {RoW}| market for lubricating oil | Cut-off, U</t>
  </si>
  <si>
    <t>Methyl methacrylate {RoW}| market for methyl methacrylate | Cut-off, U</t>
  </si>
  <si>
    <t>Packaging box factory {GLO}| market for | Cut-off, U</t>
  </si>
  <si>
    <t>Particle board, for outdoor use {GLO}| market for | Cut-off, U</t>
  </si>
  <si>
    <t>Propylene {RoW}| market for propylene | Cut-off, U</t>
  </si>
  <si>
    <t>Solid bleached board {GLO}| market for | Cut-off, U</t>
  </si>
  <si>
    <t>Steam, in chemical industry {RoW}| market for steam, in chemical industry | Cut-off, U</t>
  </si>
  <si>
    <t>Sulfuric acid {RoW}| zinc sulfide production | Cut-off, U</t>
  </si>
  <si>
    <t>Water, deionised {RoW}| market for water, deionised | Cut-off, U</t>
  </si>
  <si>
    <t>Water, cooling, unspecified natural origin, RER</t>
  </si>
  <si>
    <t>Raw carbon felt, VRB</t>
  </si>
  <si>
    <t>Ammonia, to air</t>
  </si>
  <si>
    <t>Propene, to air</t>
  </si>
  <si>
    <t>Water, to air</t>
  </si>
  <si>
    <t>Ammonium, ion, to water</t>
  </si>
  <si>
    <t>BOD5, Biological Oxygen Demand, to water</t>
  </si>
  <si>
    <t>COD, Chemical Oxygen Demand, to water</t>
  </si>
  <si>
    <t>DOC, Dissolved Organic Carbon, to water</t>
  </si>
  <si>
    <t>Propane, to water</t>
  </si>
  <si>
    <t>Sulfate, to water</t>
  </si>
  <si>
    <t>TOC, Total Organic Carbon, to water</t>
  </si>
  <si>
    <t>Water, RoW, to water</t>
  </si>
  <si>
    <t>Natural gas, burned in gas motor, for storage {GLO}| market for | Cut-off, U</t>
  </si>
  <si>
    <t>Electrode, VRB</t>
  </si>
  <si>
    <t>Nitrogen, total, to air</t>
  </si>
  <si>
    <t>Sub-assembly - Electrode</t>
  </si>
  <si>
    <t>Graphite, battery grade {CN}| graphite production, battery grade | Cut-off, S</t>
  </si>
  <si>
    <t>Core board {GLO}| market for core board | Cut-off, S</t>
  </si>
  <si>
    <t>EUR-flat pallet {GLO}| market for EUR-flat pallet | Cut-off, S</t>
  </si>
  <si>
    <t>Heat, central or small-scale, other than natural gas {GLO}| market group for heat, central or small-scale, other than natural gas | Cut-off, S</t>
  </si>
  <si>
    <t>Heat, district or industrial, natural gas {GLO}| market group for heat, district or industrial, natural gas | Cut-off, S</t>
  </si>
  <si>
    <t>Lubricating oil {RoW}| market for lubricating oil | Cut-off, S</t>
  </si>
  <si>
    <t>Packaging box factory {GLO}| market for packaging box factory | Cut-off, S</t>
  </si>
  <si>
    <t>Particle board, for outdoor use {GLO}| market for particle board, for outdoor use | Cut-off, S</t>
  </si>
  <si>
    <t>Polyethylene, high density, granulate {GLO}| market for polyethylene, high density, granulate | Cut-off, S</t>
  </si>
  <si>
    <t>Solid bleached board {GLO}| market for solid bleached board | Cut-off, S</t>
  </si>
  <si>
    <t>Steam, in chemical industry {RoW}| market for steam, in chemical industry | Cut-off, S</t>
  </si>
  <si>
    <t>Transport, freight, train, fleet average {RER}| market group for transport, freight, train, fleet average | Cut-off, S</t>
  </si>
  <si>
    <t>tkm</t>
  </si>
  <si>
    <t>Transport, freight, lorry, 16-32 metric ton, diesel, EURO 6 {RoW}| market for transport, freight, lorry, 16-32 metric ton, diesel, EURO 6 | Cut-off, S</t>
  </si>
  <si>
    <t>Water, deionised {RoW}| market for water, deionised | Cut-off, S</t>
  </si>
  <si>
    <t>Waste plastic, consumer electronics {RoW}| market for waste plastic, consumer electronics | Cut-off, S</t>
  </si>
  <si>
    <t>Bipolar plate, VRB</t>
  </si>
  <si>
    <t>Sub-assembly - Bipolar plate</t>
  </si>
  <si>
    <t>Sub-assembly - Current collector</t>
  </si>
  <si>
    <t>Copper {GLO}| market for | Cut-off, U</t>
  </si>
  <si>
    <t>Metal working factory {GLO}| market for | Cut-off, U</t>
  </si>
  <si>
    <t>Sheet rolling, copper {GLO}| market for | Cut-off, U</t>
  </si>
  <si>
    <t>Current collector, VRB</t>
  </si>
  <si>
    <t>Extrusion, plastic pipes {GLO}| market for | Cut-off, U</t>
  </si>
  <si>
    <t>Polyvinylchloride, emulsion polymerised {GLO}| market for | Cut-off, U</t>
  </si>
  <si>
    <t>PVC cell frame, VRB</t>
  </si>
  <si>
    <t>Sub-assembly - Cell frame</t>
  </si>
  <si>
    <t>Sub-assembly - Gasket</t>
  </si>
  <si>
    <t>Sub-assembly - Stack frame</t>
  </si>
  <si>
    <t>Sub-assembly - Electrolye tank</t>
  </si>
  <si>
    <t>Sub-assembly - Vanadium bearing magnetite</t>
  </si>
  <si>
    <t>Sub-assembly - Vanadium pentoxide bearing magnetite</t>
  </si>
  <si>
    <t>Sub-assembly - Vanadium pentoxide bearing cast iron</t>
  </si>
  <si>
    <t>Sub-assembly - Vanadium slag (25% V2O5)</t>
  </si>
  <si>
    <t>Sub-assembly - Vanadium pentoxide</t>
  </si>
  <si>
    <t>Sub-assembly - Vanadium sulfate mixture</t>
  </si>
  <si>
    <t>Sub-assembly - Vanadium trichloride</t>
  </si>
  <si>
    <t>Sub-assembly - Vanadium electrolyte</t>
  </si>
  <si>
    <t>Sub-assembly - Copper cable</t>
  </si>
  <si>
    <t>Sub-assembly - Pump</t>
  </si>
  <si>
    <t>Sub-assembly - Fan</t>
  </si>
  <si>
    <t>Sub-assembly - Pipes</t>
  </si>
  <si>
    <t>Sub-assembly - Steel housing</t>
  </si>
  <si>
    <t>Polyvinylfluoride {GLO}| market for | Cut-off, U</t>
  </si>
  <si>
    <t>Gasket, VRB</t>
  </si>
  <si>
    <t>Metal working, average for steel product manufacturing {GLO}| market for | Cut-off, U</t>
  </si>
  <si>
    <t>Steel, low-alloyed {GLO}| market for | Cut-off, U</t>
  </si>
  <si>
    <t>Welding, arc, steel {GLO}| market for | Cut-off, U</t>
  </si>
  <si>
    <t>M</t>
  </si>
  <si>
    <t>Stack frame, VRB</t>
  </si>
  <si>
    <t>Extrusion, plastic film {GLO}| market for | Cut-off, U</t>
  </si>
  <si>
    <t>Polyethylene, low density, granulate {GLO}| market for | Cut-off, U</t>
  </si>
  <si>
    <t>Electrolyte tank, VRB</t>
  </si>
  <si>
    <t>Iron in ore (72 % in magnetite, 14 % crude ore)</t>
  </si>
  <si>
    <t>Occupation, mineral extraction site</t>
  </si>
  <si>
    <t>TiO2, 54% in ilmenite, 18% in crude ore</t>
  </si>
  <si>
    <t>Transformation, from forest, unspecified</t>
  </si>
  <si>
    <t>Transformation, to mineral extraction site</t>
  </si>
  <si>
    <t>Vanadium ore (V2O5, in magnetite)</t>
  </si>
  <si>
    <t>Water, well, GLO</t>
  </si>
  <si>
    <t>Blasting {GLO}| market for | Cut-off, U</t>
  </si>
  <si>
    <t>Conveyor belt {GLO}| market for | Cut-off, U</t>
  </si>
  <si>
    <t>Diesel, burned in diesel-electric generating set, 10MW {GLO}| market for | Cut-off, U</t>
  </si>
  <si>
    <t>Electricity, medium voltage {CN}| market group for | Cut-off, U</t>
  </si>
  <si>
    <t>Heat, central or small-scale, natural gas {GLO}| market group for | Cut-off, U</t>
  </si>
  <si>
    <t>Industrial machine, heavy, unspecified {RoW}| market for industrial machine, heavy, unspecified | Cut-off, U</t>
  </si>
  <si>
    <t>Mine infrastructure, open cast, ilmenite from hard-rock ore {GLO}| market for | Cut-off, U</t>
  </si>
  <si>
    <t>Petrol, unleaded {RoW}| market for | Cut-off, U</t>
  </si>
  <si>
    <t>Recultivation, ilmenite mine {GLO}| market for | Cut-off, U</t>
  </si>
  <si>
    <t>Ilmenite, 54% titanium dioxide</t>
  </si>
  <si>
    <t>Particulates, &lt; 2.5 um, to air</t>
  </si>
  <si>
    <t>Particulates, &gt; 10 um, to air</t>
  </si>
  <si>
    <t>Particulates, &gt; 2.5 um, and &lt; 10um, to air</t>
  </si>
  <si>
    <t>Water to air</t>
  </si>
  <si>
    <t>Water, to water</t>
  </si>
  <si>
    <t>m2∙a</t>
  </si>
  <si>
    <t>Vanadium bearing magnetite (Magnetite 72 % Fe, 2.2 % V2O5)</t>
  </si>
  <si>
    <t>Water, unspecified natural origin, RoW</t>
  </si>
  <si>
    <t>Aluminium oxide factory {GLO}| market for | Cut-off, U</t>
  </si>
  <si>
    <t>Chromium {GLO}| market for | Cut-off, U</t>
  </si>
  <si>
    <t>Dolomite {RER}| market for dolomite | Cut-off, U</t>
  </si>
  <si>
    <t>Electricity, high voltage {GLO}| market group for | Cut-off, U</t>
  </si>
  <si>
    <t>Hard coal {CN}| market for | Cut-off, U</t>
  </si>
  <si>
    <t>Lime {RER}| market for lime | Cut-off, U</t>
  </si>
  <si>
    <t>Lubricating oil {RER}| market for lubricating oil | Cut-off, U</t>
  </si>
  <si>
    <t>Solvent, organic {GLO}| market for | Cut-off, U</t>
  </si>
  <si>
    <t>Steel, unalloyed {GLO}| market for | Cut-off, U</t>
  </si>
  <si>
    <t>Tap water {RoW}| market for | Cut-off, U</t>
  </si>
  <si>
    <t>Pre-reduced V2O5 magnetite</t>
  </si>
  <si>
    <t>Cadmium, to air</t>
  </si>
  <si>
    <t>Carbon dioxide, fossil, to air</t>
  </si>
  <si>
    <t>Carbon monoxide, fossil, to air</t>
  </si>
  <si>
    <t>Chromium, to air</t>
  </si>
  <si>
    <t>Copper, to air</t>
  </si>
  <si>
    <t>Dinitrogen monoxide, to air</t>
  </si>
  <si>
    <t>Dioxins, to air</t>
  </si>
  <si>
    <t>Hydrocarbons, aliphatic, alkanes, unspecified, to air</t>
  </si>
  <si>
    <t>Hydrogen chloride, to air</t>
  </si>
  <si>
    <t>Hydrogen fluoride, to air</t>
  </si>
  <si>
    <t>Lead, to air</t>
  </si>
  <si>
    <t>Manganese, to air</t>
  </si>
  <si>
    <t>Mercury, to air</t>
  </si>
  <si>
    <t>Methane, fossil, to air</t>
  </si>
  <si>
    <t>Nickel, to air</t>
  </si>
  <si>
    <t>Nitrogen oxides, to air</t>
  </si>
  <si>
    <t>NMVOC, non-methane volatile organic compounds, to air</t>
  </si>
  <si>
    <t>PAH, polycyclic aromatic hydrocarbons, to air</t>
  </si>
  <si>
    <t>Silver, to air</t>
  </si>
  <si>
    <t>Sulfur dioxide, to air</t>
  </si>
  <si>
    <t>Zinc, to air</t>
  </si>
  <si>
    <t>Arsenic, to water</t>
  </si>
  <si>
    <t>Cadmium, to water</t>
  </si>
  <si>
    <t>Chromium, to water</t>
  </si>
  <si>
    <t>Cobalt, to water</t>
  </si>
  <si>
    <t>Copper, to water</t>
  </si>
  <si>
    <t>Iron, to water</t>
  </si>
  <si>
    <t>Lead, to water</t>
  </si>
  <si>
    <t>Manganese, to water</t>
  </si>
  <si>
    <t>Mercury, to water</t>
  </si>
  <si>
    <t>Nickel, to water</t>
  </si>
  <si>
    <t>Nitrate, to water</t>
  </si>
  <si>
    <t>Phosphorus, to water</t>
  </si>
  <si>
    <t>Suspended solids, unspecified, to water</t>
  </si>
  <si>
    <t>Zinc, to water</t>
  </si>
  <si>
    <t>Scrap steel {CH}| market for scrap steel | Cut-off, U</t>
  </si>
  <si>
    <t>Scrap steel {Europe without Switzerland}| market for scrap steel | Cut-off, U</t>
  </si>
  <si>
    <t>Spent solvent mixture {Europe without Switzerland}| market for spent solvent mixture | Cut-off, U</t>
  </si>
  <si>
    <t>Waste mineral oil {Europe without Switzerland}| market for waste mineral oil | Cut-off, U</t>
  </si>
  <si>
    <t>Anode, for metal electrolysis {GLO}| market for | Cut-off, U</t>
  </si>
  <si>
    <t>Electric arc furnace converter {GLO}| market for | Cut-off, U</t>
  </si>
  <si>
    <t>Natural gas, high pressure {RoW}| market for | Cut-off, U</t>
  </si>
  <si>
    <t>Oxygen, liquid {RoW}| market for | Cut-off, U</t>
  </si>
  <si>
    <t>Pre-reduced V2O5 magnetite (Iron pellet {RoW}| production | Cut-off, U_ADAPTED)</t>
  </si>
  <si>
    <t>Quicklime, in pieces, loose {RoW}| market for quicklime, in pieces, loose | Cut-off, U</t>
  </si>
  <si>
    <t>Refractory, basic, packed {GLO}| market for | Cut-off, U</t>
  </si>
  <si>
    <t>Water, cooling, unspecified natural origin, RoW</t>
  </si>
  <si>
    <t>Vanadium pentoxide bearing cast iron</t>
  </si>
  <si>
    <t>Benzene, to air</t>
  </si>
  <si>
    <t>Hydrocarbons, aromatic, to air</t>
  </si>
  <si>
    <t>Polychlorinated biphenyls, to air</t>
  </si>
  <si>
    <t>Dust, unalloyed electric arc furnace steel {GLO}| market for | Cut-off, U, to water</t>
  </si>
  <si>
    <t>Inert waste, for final disposal {RoW}| market for inert waste, for final disposal | Cut-off, U, to water</t>
  </si>
  <si>
    <t>Slag, unalloyed electric arc furnace steel {GLO}| market for | Cut-off, U, to water</t>
  </si>
  <si>
    <t>Aluminium, wrought alloy {GLO}| market for | Cut-off, U</t>
  </si>
  <si>
    <t>Argon, liquid {RoW}| market for argon, liquid | Cut-off, U</t>
  </si>
  <si>
    <t>Cast iron {GLO}| market for | Cut-off, U</t>
  </si>
  <si>
    <t>Diesel, burned in building machine {GLO}| market for | Cut-off, U</t>
  </si>
  <si>
    <t>Electricity, low voltage {CN}| market group for | Cut-off, U</t>
  </si>
  <si>
    <t>Ethylene glycol {GLO}| market for | Cut-off, U</t>
  </si>
  <si>
    <t>Ferrochromium, high-carbon, 68% Cr {GLO}| market for | Cut-off, U</t>
  </si>
  <si>
    <t>Ferromanganese, high-coal, 74.5% Mn {GLO}| market for | Cut-off, U</t>
  </si>
  <si>
    <t>Ferrosilicon {GLO}| market for | Cut-off, U</t>
  </si>
  <si>
    <t>Molybdenum trioxide {GLO}| market for | Cut-off, U</t>
  </si>
  <si>
    <t>Nickel, 99.5% {GLO}| market for | Cut-off, U</t>
  </si>
  <si>
    <t>Propane, burned in building machine {GLO}| market for | Cut-off, U</t>
  </si>
  <si>
    <t>Steel, low-alloyed</t>
  </si>
  <si>
    <t xml:space="preserve">Vanadium slag </t>
  </si>
  <si>
    <t>Argon-40, to air</t>
  </si>
  <si>
    <t>Benzene, hexachloro-, to air</t>
  </si>
  <si>
    <t>Chloride, to water</t>
  </si>
  <si>
    <t>Chromium VI, to water</t>
  </si>
  <si>
    <t>Dust, unalloyed electric arc furnace steel {GLO}| market for | Cut-off, U, waste to treatment</t>
  </si>
  <si>
    <t>Inert waste, for final disposal {RoW}| market for inert waste, for final disposal | Cut-off, U, waste to treatment</t>
  </si>
  <si>
    <t>Scrap steel {RoW}| market for scrap steel | Cut-off, U, waste to treatment</t>
  </si>
  <si>
    <t>Slag, unalloyed electric arc furnace steel {GLO}| market for | Cut-off, U, waste to treatment</t>
  </si>
  <si>
    <t>Spent solvent mixture {Europe without Switzerland}| market for spent solvent mixture | Cut-off, U, waste to treatment</t>
  </si>
  <si>
    <t>Blast furnace slag {GLO}| market for | Cut-off, U, waste to treatment</t>
  </si>
  <si>
    <t>Vanadium slag</t>
  </si>
  <si>
    <t>Ammonium sulfate, as N {GLO}| market for | Cut-off, U</t>
  </si>
  <si>
    <t>Sodium sulfate, anhydrite {RoW}| market for | Cut-off, U</t>
  </si>
  <si>
    <t>Sulfuric acid {RoW}| market for sulfuric acid | Cut-off, U</t>
  </si>
  <si>
    <t>Transport, freight, lorry 16-32 metric ton, euro6 {RER}| market for transport, freight, lorry 16-32 metric ton, EURO6 | Cut-off, U</t>
  </si>
  <si>
    <t>Vanadium pentoxide, VRB</t>
  </si>
  <si>
    <t>Sodium sulfate, anhydrite</t>
  </si>
  <si>
    <t>Oxygen, to air</t>
  </si>
  <si>
    <t>Slag from metallurgical grade silicon production {GLO}| market for | Cut-off, U, waste to treatment</t>
  </si>
  <si>
    <t>Sulfur {GLO}| market for | Cut-off, U</t>
  </si>
  <si>
    <t>Vanadium sulfate mixture, VRB</t>
  </si>
  <si>
    <t>Hydrochloric acid, without water, in 30% solution state {RoW}| market for | Cut-off, U</t>
  </si>
  <si>
    <t>Hydrogen, liquid {RoW}| market for | Cut-off, U</t>
  </si>
  <si>
    <t>Vanadium trichloride, VRB</t>
  </si>
  <si>
    <t>Electrolyte, VRB</t>
  </si>
  <si>
    <t>Rolling mill {GLO}| market for | Cut-off, U</t>
  </si>
  <si>
    <t>Tap water {GLO}| market group for | Cut-off, U</t>
  </si>
  <si>
    <t>Wire drawing, copper {GLO}| market for | Cut-off, U</t>
  </si>
  <si>
    <t>Copper cable, VRB</t>
  </si>
  <si>
    <t>Hazardous waste, for incineration {RoW}| treatment of hazardous waste, hazardous waste incineration | Cut-off, U</t>
  </si>
  <si>
    <t>Waste plastic, mixture {GLO}| market for | Cut-off, U, to treatment</t>
  </si>
  <si>
    <t>Transport, freight, sea, container ship {GLO}| market for transport, freight, sea, container ship | Cut-off, U</t>
  </si>
  <si>
    <t>Pump, VRB</t>
  </si>
  <si>
    <t>Aluminium, cast alloy {GLO}| market for | Cut-off, U</t>
  </si>
  <si>
    <t>Copper cable</t>
  </si>
  <si>
    <t>Glass fibre reinforced plastic, polyamide, injection moulded {GLO}| market for | Cut-off, U</t>
  </si>
  <si>
    <t>Injection moulding {GLO}| market for | Cut-off, U</t>
  </si>
  <si>
    <t>Transport, freight, lorry, unspecified {RoW}| market for transport, freight, lorry, unspecified | Cut-off, U</t>
  </si>
  <si>
    <t>Fan, VRB</t>
  </si>
  <si>
    <t>Polypropylene, granulate {GLO}| market for | Cut-off, U</t>
  </si>
  <si>
    <t>Pipes, VRB</t>
  </si>
  <si>
    <t>Sheet rolling, steel {GLO}| market for | Cut-off, U</t>
  </si>
  <si>
    <t>Steel housing, VRB</t>
  </si>
  <si>
    <t>Bipolar plate</t>
  </si>
  <si>
    <t>Current collector</t>
  </si>
  <si>
    <t>Electrolyte</t>
  </si>
  <si>
    <t>Electrolyte tank</t>
  </si>
  <si>
    <t>Fan</t>
  </si>
  <si>
    <t>Gasket</t>
  </si>
  <si>
    <t>Nafion membrane</t>
  </si>
  <si>
    <t>Electrode</t>
  </si>
  <si>
    <t>Pipes</t>
  </si>
  <si>
    <t>Pump</t>
  </si>
  <si>
    <t>PVC cell frame</t>
  </si>
  <si>
    <t>Sawnwood, board, hardwood, dried (u=10%), planed {GLO}| market for | Cut-off, U</t>
  </si>
  <si>
    <t>Stack frame</t>
  </si>
  <si>
    <t>Steel housing</t>
  </si>
  <si>
    <t>Inverter, 2.5kW {GLO}| market for | Cut-off, U</t>
  </si>
  <si>
    <t>Computer, laptop {GLO}| market for | Cut-off, U</t>
  </si>
  <si>
    <t>Generic component split (E/P): 0.83/0.17</t>
  </si>
  <si>
    <r>
      <t>da Silva Lima, L., Quartier, M., Buchmayr, A., Sanjuan-Delmás, D., Laget, H., Corbisier, D., ... &amp; Dewulf, J. (2021). Life cycle assessment of lithium-ion batteries and vanadium redox flow batteries-based renewable energy storage systems. </t>
    </r>
    <r>
      <rPr>
        <i/>
        <sz val="10"/>
        <color rgb="FF222222"/>
        <rFont val="Arial"/>
        <family val="2"/>
      </rPr>
      <t>Sustainable Energy Technologies and Assessments</t>
    </r>
    <r>
      <rPr>
        <sz val="10"/>
        <color rgb="FF222222"/>
        <rFont val="Arial"/>
        <family val="2"/>
      </rPr>
      <t>, </t>
    </r>
    <r>
      <rPr>
        <i/>
        <sz val="10"/>
        <color rgb="FF222222"/>
        <rFont val="Arial"/>
        <family val="2"/>
      </rPr>
      <t>46</t>
    </r>
    <r>
      <rPr>
        <sz val="10"/>
        <color rgb="FF222222"/>
        <rFont val="Arial"/>
        <family val="2"/>
      </rPr>
      <t>, 101286.</t>
    </r>
  </si>
  <si>
    <t>7.5kW</t>
  </si>
  <si>
    <t>30 kWh</t>
  </si>
  <si>
    <t>37.5 kWh</t>
  </si>
  <si>
    <t xml:space="preserve">Sawnwood, board, hardwood, dried (u=10%), planed </t>
  </si>
  <si>
    <t>Materials</t>
  </si>
  <si>
    <t>Transport</t>
  </si>
  <si>
    <t>Transport, freight, lorry 16-32 metric ton, euro6</t>
  </si>
  <si>
    <t>t-km</t>
  </si>
  <si>
    <t>Transport, freight, sea, container ship</t>
  </si>
  <si>
    <t>Spent solvent mixture {Europe without Switzerland}| treatment of spent solvent mixture, hazardous waste incineration | Cut-off, U</t>
  </si>
  <si>
    <t>Waste polyethylene {Europe without Switzerland}| market group for waste polyethylene | Cut-off, U</t>
  </si>
  <si>
    <t>Electricity, medium voltage {BE}| market for | Cut-off, U</t>
  </si>
  <si>
    <t>Waste aluminium {GLO}| market for | Cut-off, U</t>
  </si>
  <si>
    <t>Waste plastic, mixture {Europe without Switzerland}| market group for waste plastic, mixture | Cut-off, U</t>
  </si>
  <si>
    <t>Waste polypropylene {RoW}| market for waste polypropylene | Cut-off, U</t>
  </si>
  <si>
    <t>Waste polyvinylchloride {RoW}| market for waste polyvinylchloride | Cut-off, U</t>
  </si>
  <si>
    <t>Waste polyvinylfluoride {RoW}| market for waste polyvinylfluoride | Cut-off, U</t>
  </si>
  <si>
    <t>Cell frame</t>
  </si>
  <si>
    <t>Steel Housing</t>
  </si>
  <si>
    <t>Sawnwood, board, hardwood, dried (u=10%), planed {GLO}| market for sawnwood, board, hardwood, dried (u=10%), planed | Cut-off, S</t>
  </si>
  <si>
    <t>Transport, freight, lorry 16-32 metric ton, EURO6 {RoW}| market for transport, freight, lorry 16-32 metric ton, EURO6 | Cut-off, S</t>
  </si>
  <si>
    <t>Transport, freight, sea, container ship {GLO}| market for transport, freight, sea, container ship | Cut-off, S</t>
  </si>
  <si>
    <t>Treatment used copper cable</t>
  </si>
  <si>
    <t>1 p da Silva Lima 21 E VRFB 37.5/30 kWh - ctg_ (of project LCA of Energy Storage Technologies)</t>
  </si>
  <si>
    <t>1 p da Silva Lima 21 E VRFB 37.5/30 kWh - ctgr_ (of project LCA of Energy Storage Technologies)</t>
  </si>
  <si>
    <t>1 p da Silva Lima 21 P VRFB 7.5kW - ctg_ (of project LCA of Energy Storage Technologies)</t>
  </si>
  <si>
    <t xml:space="preserve">Product 4: </t>
  </si>
  <si>
    <t>1 p da Silva Lima 21 P VRFB 7.5kW - ctgr_ (of project LCA of Energy Storage Technologies)</t>
  </si>
  <si>
    <t>da Silva Lima 21 E VRFB 37.5/30 kWh - ctg_</t>
  </si>
  <si>
    <t>da Silva Lima 21 E VRFB 37.5/30 kWh - ctgr_</t>
  </si>
  <si>
    <t>da Silva Lima 21 P VRFB 7.5kW - ctg_</t>
  </si>
  <si>
    <t>da Silva Lima 21 P VRFB 7.5kW - ctgr_</t>
  </si>
  <si>
    <r>
      <t>Rahman, M. M., Gemechu, E., Oni, A. O., &amp; Kumar, A. (2021). Energy and environmental footprints of flywheels for utility-scale energy storage applications. </t>
    </r>
    <r>
      <rPr>
        <i/>
        <sz val="10"/>
        <color rgb="FF222222"/>
        <rFont val="Arial"/>
        <family val="2"/>
      </rPr>
      <t>e-Prime-Advances in Electrical Engineering, Electronics and Energy</t>
    </r>
    <r>
      <rPr>
        <sz val="10"/>
        <color rgb="FF222222"/>
        <rFont val="Arial"/>
        <family val="2"/>
      </rPr>
      <t>, </t>
    </r>
    <r>
      <rPr>
        <i/>
        <sz val="10"/>
        <color rgb="FF222222"/>
        <rFont val="Arial"/>
        <family val="2"/>
      </rPr>
      <t>1</t>
    </r>
    <r>
      <rPr>
        <sz val="10"/>
        <color rgb="FF222222"/>
        <rFont val="Arial"/>
        <family val="2"/>
      </rPr>
      <t>, 100020.</t>
    </r>
  </si>
  <si>
    <t>Power conversion system (AC-DC-AC)</t>
  </si>
  <si>
    <t>Aluminium, primary, ingot {GLO}| market for | Cut-off, S</t>
  </si>
  <si>
    <t>Glass fibre reinforced plastic, polyamide, injection moulded {GLO}| market for glass fibre reinforced plastic, polyamide, injection moulded | Cut-off, S</t>
  </si>
  <si>
    <t>Heat, district or industrial, other than natural gas {RoW}| heat, from municipal waste incineration to generic market for heat, district or industrial, other than natural gas | Cut-off, S</t>
  </si>
  <si>
    <t>GJ</t>
  </si>
  <si>
    <t>Natural gas, burned in gas turbine {GLO}| market for natural gas, burned in gas turbine | Cut-off, S</t>
  </si>
  <si>
    <t>Heat, district or industrial, other than natural gas {RoW}| heat production, light fuel oil, at industrial furnace 1MW | Cut-off, S</t>
  </si>
  <si>
    <t>MWh</t>
  </si>
  <si>
    <t>Steel rotor</t>
  </si>
  <si>
    <t>Nickel, class 1 {GLO}| market for nickel, class 1 | Cut-off, S</t>
  </si>
  <si>
    <t>Chromium {GLO}| market for chromium | Cut-off, S</t>
  </si>
  <si>
    <t>Manganese {GLO}| market for manganese | Cut-off, S</t>
  </si>
  <si>
    <t>Carbon black {GLO}| market for carbon black | Cut-off, S</t>
  </si>
  <si>
    <t>Molybdenum {GLO}| market for molybdenum | Cut-off, S</t>
  </si>
  <si>
    <t>Silicon, metallurgical grade {GLO}| market for silicon, metallurgical grade | Cut-off, S</t>
  </si>
  <si>
    <t>Rotor shaft</t>
  </si>
  <si>
    <t>Bearings</t>
  </si>
  <si>
    <t>Liquefied petroleum gas {GLO}| market group for liquefied petroleum gas | Cut-off, S</t>
  </si>
  <si>
    <t>ton</t>
  </si>
  <si>
    <t>Housing</t>
  </si>
  <si>
    <t>Diesel, burned in diesel-electric generating set {GLO}| market for | Cut-off, S</t>
  </si>
  <si>
    <t>Heat, district or industrial, other than natural gas {RoW}| heat production, at hard coal industrial furnace 1-10MW | Cut-off, S</t>
  </si>
  <si>
    <t>Vacuum pump</t>
  </si>
  <si>
    <t>Generic component split (E/P): 0.86/0.14</t>
  </si>
  <si>
    <t>All other components except transportation were classified directly in full (i.e. they are all either completely power-specific or energy-specfic)</t>
  </si>
  <si>
    <t>20MW</t>
  </si>
  <si>
    <t>5MWh</t>
  </si>
  <si>
    <r>
      <t>Terlouw, T., Bauer, C., McKenna, R., &amp; Mazzotti, M. (2022). Large-scale hydrogen production via water electrolysis: a techno-economic and environmental assessment. </t>
    </r>
    <r>
      <rPr>
        <i/>
        <sz val="10"/>
        <color rgb="FF222222"/>
        <rFont val="Arial"/>
        <family val="2"/>
      </rPr>
      <t>Energy &amp; Environmental Science</t>
    </r>
    <r>
      <rPr>
        <sz val="10"/>
        <color rgb="FF222222"/>
        <rFont val="Arial"/>
        <family val="2"/>
      </rPr>
      <t>, </t>
    </r>
    <r>
      <rPr>
        <i/>
        <sz val="10"/>
        <color rgb="FF222222"/>
        <rFont val="Arial"/>
        <family val="2"/>
      </rPr>
      <t>15</t>
    </r>
    <r>
      <rPr>
        <sz val="10"/>
        <color rgb="FF222222"/>
        <rFont val="Arial"/>
        <family val="2"/>
      </rPr>
      <t>(9), 3583-3602.</t>
    </r>
  </si>
  <si>
    <r>
      <t>Gulotta, T. M., Salomone, R., Mondello, G., Saija, G., Lanuzza, F., &amp; Briguglio, N. (2023). Life Cycle Assessment and Environmental Life Cycle costing of a unitised regenerative fuel cell stack. </t>
    </r>
    <r>
      <rPr>
        <i/>
        <sz val="10"/>
        <color rgb="FF222222"/>
        <rFont val="Arial"/>
        <family val="2"/>
      </rPr>
      <t>Science of The Total Environment</t>
    </r>
    <r>
      <rPr>
        <sz val="10"/>
        <color rgb="FF222222"/>
        <rFont val="Arial"/>
        <family val="2"/>
      </rPr>
      <t>, </t>
    </r>
    <r>
      <rPr>
        <i/>
        <sz val="10"/>
        <color rgb="FF222222"/>
        <rFont val="Arial"/>
        <family val="2"/>
      </rPr>
      <t>901</t>
    </r>
    <r>
      <rPr>
        <sz val="10"/>
        <color rgb="FF222222"/>
        <rFont val="Arial"/>
        <family val="2"/>
      </rPr>
      <t>, 166007.</t>
    </r>
  </si>
  <si>
    <t>Fuel cell</t>
  </si>
  <si>
    <t>Electrolyser</t>
  </si>
  <si>
    <t>Storage tank</t>
  </si>
  <si>
    <r>
      <t>Bareiß, K., de la Rua, C., Möckl, M., &amp; Hamacher, T. (2019). Life cycle assessment of hydrogen from proton exchange membrane water electrolysis in future energy systems. </t>
    </r>
    <r>
      <rPr>
        <i/>
        <sz val="10"/>
        <color rgb="FF222222"/>
        <rFont val="Arial"/>
        <family val="2"/>
      </rPr>
      <t>Applied Energy</t>
    </r>
    <r>
      <rPr>
        <sz val="10"/>
        <color rgb="FF222222"/>
        <rFont val="Arial"/>
        <family val="2"/>
      </rPr>
      <t>, </t>
    </r>
    <r>
      <rPr>
        <i/>
        <sz val="10"/>
        <color rgb="FF222222"/>
        <rFont val="Arial"/>
        <family val="2"/>
      </rPr>
      <t>237</t>
    </r>
    <r>
      <rPr>
        <sz val="10"/>
        <color rgb="FF222222"/>
        <rFont val="Arial"/>
        <family val="2"/>
      </rPr>
      <t>, 862-872.</t>
    </r>
  </si>
  <si>
    <r>
      <t>Palmer, G., Roberts, A., Hoadley, A., Dargaville, R., &amp; Honnery, D. (2021). Life-cycle greenhouse gas emissions and net energy assessment of large-scale hydrogen production via electrolysis and solar PV. </t>
    </r>
    <r>
      <rPr>
        <i/>
        <sz val="10"/>
        <color rgb="FF222222"/>
        <rFont val="Arial"/>
        <family val="2"/>
      </rPr>
      <t>Energy &amp; Environmental Science</t>
    </r>
    <r>
      <rPr>
        <sz val="10"/>
        <color rgb="FF222222"/>
        <rFont val="Arial"/>
        <family val="2"/>
      </rPr>
      <t>, </t>
    </r>
    <r>
      <rPr>
        <i/>
        <sz val="10"/>
        <color rgb="FF222222"/>
        <rFont val="Arial"/>
        <family val="2"/>
      </rPr>
      <t>14</t>
    </r>
    <r>
      <rPr>
        <sz val="10"/>
        <color rgb="FF222222"/>
        <rFont val="Arial"/>
        <family val="2"/>
      </rPr>
      <t>(10), 5113-5131.</t>
    </r>
  </si>
  <si>
    <t>The Terlouw et al (2022)/Bareiß et al (2019) inventory included a 1000kg of control electronics for a rectifier in their "Balance of Plant" system. They did not consider a system that also contains a fuel cell to refeed electricity to the grid. To simulate a bidirectional system like this, an inverter is included (alongside the fuel cell inventory from Gulotta et al (2023)). Since inverters can act as rectifiers with little modification, the 1000 kg of rectifier electronics from Terlouw et al (2022) / Bareiß et al (2019) are excluded, leaving only 100kg of control electronics for the electrochemical operation of the electrolyser.</t>
  </si>
  <si>
    <t>Aluminium, wrought alloy {GLO}| market for aluminium, wrought alloy | Cut-off, S</t>
  </si>
  <si>
    <t>Activated carbon, granular {GLO}| market for activated carbon, granular | Cut-off, S</t>
  </si>
  <si>
    <t>Copper, anode {GLO}| market for copper, anode | Cut-off, S</t>
  </si>
  <si>
    <t>Platinum {GLO}| market for platinum | Cut-off, S</t>
  </si>
  <si>
    <t>Steel, chromium steel 18/8, hot rolled {GLO}| market for steel, chromium steel 18/8, hot rolled | Cut-off, S</t>
  </si>
  <si>
    <t>Tetrafluoroethylene {GLO}| market for tetrafluoroethylene | Cut-off, S</t>
  </si>
  <si>
    <t>Titanium {GLO}| market for titanium | Cut-off, S</t>
  </si>
  <si>
    <t>Iridium</t>
  </si>
  <si>
    <t>Electrolyser stack</t>
  </si>
  <si>
    <t>1 kW</t>
  </si>
  <si>
    <t>Chemical, organic {GLO}| market for chemical, organic | Cut-off, S</t>
  </si>
  <si>
    <t>Concrete, normal {GLO}| market for | Cut-off, S</t>
  </si>
  <si>
    <t>Electronics, for control units {GLO}| market for electronics, for control units | Cut-off, S</t>
  </si>
  <si>
    <t>Polypropylene, granulate {GLO}| market for polypropylene, granulate | Cut-off, S</t>
  </si>
  <si>
    <t>Balance of Plant</t>
  </si>
  <si>
    <t>Occupation, industrial area</t>
  </si>
  <si>
    <t>m2a</t>
  </si>
  <si>
    <t>Transformation, from grassland, natural (non-use)</t>
  </si>
  <si>
    <t>Transformation, to industrial area</t>
  </si>
  <si>
    <t>Inverter, 500kW {GLO}| market for inverter, 500kW | Cut-off, S</t>
  </si>
  <si>
    <t>Electricity, low voltage {Europe without Switzerland}| market group for electricity, low voltage | Cut-off, S</t>
  </si>
  <si>
    <t>Polymer foaming {RER}| polymer foaming | Cut-off, S</t>
  </si>
  <si>
    <t>Heat, district or industrial, natural gas {RER}| market group for heat, district or industrial, natural gas | Cut-off, S</t>
  </si>
  <si>
    <t>Isopropanol {RER}| isopropanol production | Cut-off, S</t>
  </si>
  <si>
    <t>Sulfuric acid {GLO}| market for | Cut-off, S</t>
  </si>
  <si>
    <t>Polyethylene, linear low density, granulate {GLO}| market for polyethylene, linear low density, granulate | Cut-off, S</t>
  </si>
  <si>
    <t>Water, deionised {CH}| water production, deionised | Cut-off, S</t>
  </si>
  <si>
    <t>Palladium {GLO}| market for palladium | Cut-off, S</t>
  </si>
  <si>
    <t>Titanium dioxide {RER}| market for titanium dioxide | Cut-off, S</t>
  </si>
  <si>
    <t>Metal working, average for metal product manufacturing {RER}| metal working, average for metal product manufacturing | Cut-off, S</t>
  </si>
  <si>
    <t>Deep drawing, steel, 3500 kN press, automode {RER}| deep drawing, steel, 3500 kN press, automode | Cut-off, S</t>
  </si>
  <si>
    <t>Methanol {GLO}| market for methanol | Cut-off, S</t>
  </si>
  <si>
    <t>Steam, in chemical industry {RER}| steam production, in chemical industry | Cut-off, S</t>
  </si>
  <si>
    <t>Isopropanol {RER}| market for isopropanol | Cut-off, S</t>
  </si>
  <si>
    <t>Sulfuric acid {RER}| market for sulfuric acid | Cut-off, S</t>
  </si>
  <si>
    <t>Polyethylene terephthalate, granulate, amorphous {Europe without Switzerland}| polyethylene terephthalate, granulate, amorphous, recycled to generic market for amorphous PET granulate | Cut-off, S</t>
  </si>
  <si>
    <t>Injection moulding {RER}| injection moulding | Cut-off, S</t>
  </si>
  <si>
    <t>Boric oxide {GLO}| market for boric oxide | Cut-off, S</t>
  </si>
  <si>
    <t>Ammonium chloride {GLO}| market for ammonium chloride | Cut-off, S</t>
  </si>
  <si>
    <t>Copper-rich materials {GLO}| market for copper-rich materials | Cut-off, S</t>
  </si>
  <si>
    <t>Metal working, average for steel product manufacturing {RER}| metal working, average for steel product manufacturing | Cut-off, S</t>
  </si>
  <si>
    <t>Aluminium alloy, AlMg3 {RER}| aluminium alloy production, AlMg3 | Cut-off, S</t>
  </si>
  <si>
    <t>Anodising, aluminium sheet {RER}| anodising, aluminium sheet | Cut-off, S</t>
  </si>
  <si>
    <t>Metal working, average for aluminium product manufacturing {RER}| metal working, average for aluminium product manufacturing | Cut-off, S</t>
  </si>
  <si>
    <t>9.661 MWh</t>
  </si>
  <si>
    <t>Steel, chromium steel 18/8, hot rolled {RER}| steel production, chromium steel 18/8, hot rolled | Cut-off, S</t>
  </si>
  <si>
    <t>1.12905 MWh</t>
  </si>
  <si>
    <t>1.3 MWh</t>
  </si>
  <si>
    <t>1.12905 MW</t>
  </si>
  <si>
    <t>Battery trays</t>
  </si>
  <si>
    <t>Bimetallic busbars</t>
  </si>
  <si>
    <t>End busbar, aluminum</t>
  </si>
  <si>
    <t>End busbar, copper</t>
  </si>
  <si>
    <t>Rack housing</t>
  </si>
  <si>
    <t>Inverter</t>
  </si>
  <si>
    <t>Injection moulding {GLO}| market for injection moulding | Cut-off, S</t>
  </si>
  <si>
    <t>Metal working factory {GLO}| market for metal working factory | Cut-off, S</t>
  </si>
  <si>
    <t>Metal working, average for steel product manufacturing {GLO}| market for metal working, average for steel product manufacturing | Cut-off, S</t>
  </si>
  <si>
    <t>Transport, freight, sea, container ship, heavy fuel oil {GLO}| market for transport, freight, sea, container ship, heavy fuel oil | Cut-off, S</t>
  </si>
  <si>
    <t>Transport, freight, lorry, unspecified {GLO}| market for | Cut-off, S</t>
  </si>
  <si>
    <t>Powder coat, steel {GLO}| market for powder coat, steel | Cut-off, S</t>
  </si>
  <si>
    <t>Printed wiring board, through-hole mounted, unspecified, Pb free {GLO}| market for printed wiring board, through-hole mounted, unspecified, Pb free | Cut-off, S</t>
  </si>
  <si>
    <t>Sub-assembly - Bimetallic busbars</t>
  </si>
  <si>
    <t>Sub-assembly - End busbar, aluminium</t>
  </si>
  <si>
    <t>Sub-assembly - End busbar, copper</t>
  </si>
  <si>
    <t>Aluminium, cast alloy {GLO}| market for aluminium, cast alloy | Cut-off, S</t>
  </si>
  <si>
    <t>Acrylonitrile-butadiene-styrene copolymer {GLO}| market for acrylonitrile-butadiene-styrene copolymer | Cut-off, S</t>
  </si>
  <si>
    <t>Metal working, average for aluminium product manufacturing {GLO}| market for metal working, average for aluminium product manufacturing | Cut-off, S</t>
  </si>
  <si>
    <t>Metal working, average for copper product manufacturing {GLO}| market for metal working, average for copper product manufacturing | Cut-off, S</t>
  </si>
  <si>
    <t>Plastic processing factory {GLO}| market for plastic processing factory | Cut-off, S</t>
  </si>
  <si>
    <t>Anode, graphite, for lithium-ion battery {GLO}| market for anode, graphite, for lithium-ion battery | Cut-off, S</t>
  </si>
  <si>
    <t>Ethylene carbonate {GLO}| market for ethylene carbonate | Cut-off, S</t>
  </si>
  <si>
    <t>Lithium hexafluorophosphate {CN}| market for lithium hexafluorophosphate | Cut-off, S</t>
  </si>
  <si>
    <t>Singhal et al (2025) do not specify what type of transportation is used. With the aim of resembling a representative but simplistic transportation mix, this paper assumes that transport is split 50%/50% between container ships and lorries.</t>
  </si>
  <si>
    <r>
      <t>Porzio, J., Wolfson, D., Auffhammer, M., &amp; Scown, C. D. (2023). Private and external costs and benefits of replacing high-emitting peaker plants with batteries. </t>
    </r>
    <r>
      <rPr>
        <i/>
        <sz val="10"/>
        <color rgb="FF222222"/>
        <rFont val="Arial"/>
        <family val="2"/>
      </rPr>
      <t>Environmental science &amp; technology</t>
    </r>
    <r>
      <rPr>
        <sz val="10"/>
        <color rgb="FF222222"/>
        <rFont val="Arial"/>
        <family val="2"/>
      </rPr>
      <t>, </t>
    </r>
    <r>
      <rPr>
        <i/>
        <sz val="10"/>
        <color rgb="FF222222"/>
        <rFont val="Arial"/>
        <family val="2"/>
      </rPr>
      <t>57</t>
    </r>
    <r>
      <rPr>
        <sz val="10"/>
        <color rgb="FF222222"/>
        <rFont val="Arial"/>
        <family val="2"/>
      </rPr>
      <t>(12), 4992-5002.</t>
    </r>
  </si>
  <si>
    <r>
      <t>Porzio, J., &amp; Scown, C. D. (2021). Life‐cycle assessment considerations for batteries and battery materials. </t>
    </r>
    <r>
      <rPr>
        <i/>
        <sz val="10"/>
        <color rgb="FF222222"/>
        <rFont val="Arial"/>
        <family val="2"/>
      </rPr>
      <t>Advanced Energy Materials</t>
    </r>
    <r>
      <rPr>
        <sz val="10"/>
        <color rgb="FF222222"/>
        <rFont val="Arial"/>
        <family val="2"/>
      </rPr>
      <t>, </t>
    </r>
    <r>
      <rPr>
        <i/>
        <sz val="10"/>
        <color rgb="FF222222"/>
        <rFont val="Arial"/>
        <family val="2"/>
      </rPr>
      <t>11</t>
    </r>
    <r>
      <rPr>
        <sz val="10"/>
        <color rgb="FF222222"/>
        <rFont val="Arial"/>
        <family val="2"/>
      </rPr>
      <t>(33), 2100771.</t>
    </r>
  </si>
  <si>
    <t>Output</t>
  </si>
  <si>
    <t>LFP battery cell</t>
  </si>
  <si>
    <t>MWh (cap)</t>
  </si>
  <si>
    <t>Lithium iron phosphate {CN}| market for lithium iron phosphate | Cut-off, S</t>
  </si>
  <si>
    <t>Polyvinylidenchloride, granulate {GLO}| market for | Cut-off, S</t>
  </si>
  <si>
    <t>Dimethyl carbonate {GLO}| market for dimethyl carbonate | Cut-off, S</t>
  </si>
  <si>
    <t>Polyethylene terephthalate, granulate, amorphous {GLO}| market for polyethylene terephthalate, granulate, amorphous | Cut-off, S</t>
  </si>
  <si>
    <t>Technology</t>
  </si>
  <si>
    <t>Lead acid</t>
  </si>
  <si>
    <t>c2gate</t>
  </si>
  <si>
    <t>c2grave</t>
  </si>
  <si>
    <t>done</t>
  </si>
  <si>
    <t>Li-ion</t>
  </si>
  <si>
    <t>Sodium-ion</t>
  </si>
  <si>
    <t>Sodium-sulfur</t>
  </si>
  <si>
    <t>H2</t>
  </si>
  <si>
    <t>mostly available</t>
  </si>
  <si>
    <t>Compressed air</t>
  </si>
  <si>
    <t>Pumped hydro</t>
  </si>
  <si>
    <t>own work</t>
  </si>
  <si>
    <t>Supercapacitor</t>
  </si>
  <si>
    <t>Flywheel</t>
  </si>
  <si>
    <t>VRFB</t>
  </si>
  <si>
    <t>Singhal et al (2025) give the most comprehensive assessment of a lithium-ion battery's life cycle (both in terms of project scope and life cycle stages). It does so for an NMC battery chemistry, though. Most grid-scale lithium-ion batteries today are LFP. For this reason, their battery cell components were replaced with the LFP inventory from Porzio et al (2023).</t>
  </si>
  <si>
    <t>Battery cell</t>
  </si>
  <si>
    <r>
      <t>Singhal, A., Arora, P., Kumar, A., Jain, H., Sharma, A.K., Bhosale, A.C., Singh, R., Saini, S.K., Rakshit, D., Parihar, A.K.S. and Arora, S. (2025). Integrated life cycle assessment and techno-economic analysis of grid-scale energy storage alternatives for India. </t>
    </r>
    <r>
      <rPr>
        <i/>
        <sz val="10"/>
        <color rgb="FF222222"/>
        <rFont val="Arial"/>
        <family val="2"/>
      </rPr>
      <t>Sustainable Production and Consumption</t>
    </r>
    <r>
      <rPr>
        <sz val="10"/>
        <color rgb="FF222222"/>
        <rFont val="Arial"/>
        <family val="2"/>
      </rPr>
      <t>, </t>
    </r>
    <r>
      <rPr>
        <i/>
        <sz val="10"/>
        <color rgb="FF222222"/>
        <rFont val="Arial"/>
        <family val="2"/>
      </rPr>
      <t>54</t>
    </r>
    <r>
      <rPr>
        <sz val="10"/>
        <color rgb="FF222222"/>
        <rFont val="Arial"/>
        <family val="2"/>
      </rPr>
      <t>, 404-422.</t>
    </r>
  </si>
  <si>
    <t>Acrylonitrile-butadiene-styrene copolymer {GLO}| market for | Cut-off, U</t>
  </si>
  <si>
    <t>Aluminium casting facility {GLO}| market for | Cut-off, U</t>
  </si>
  <si>
    <t>Metal working, average for aluminium product manufacturing {GLO}| market for | Cut-off, U</t>
  </si>
  <si>
    <t>Plastic processing factory {GLO}| market for | Cut-off, U</t>
  </si>
  <si>
    <t>End busbar, aluminium</t>
  </si>
  <si>
    <t>Metal working, average for copper product manufacturing {GLO}| market for | Cut-off, U</t>
  </si>
  <si>
    <t>1.3 MW</t>
  </si>
  <si>
    <t>Used Li-ion battery {GLO}| market for used Li-ion battery | Cut-off, S</t>
  </si>
  <si>
    <t>Scrap copper {GLO}| market for | Cut-off, S</t>
  </si>
  <si>
    <t>Scrap steel {GLO}| market for | Cut-off, S</t>
  </si>
  <si>
    <t>Waste aluminium {GLO}| market for waste aluminium | Cut-off, S</t>
  </si>
  <si>
    <t>Waste electric and electronic equipment {GLO}| market for waste electric and electronic equipment | Cut-off, S</t>
  </si>
  <si>
    <t>Used laptop computer {GLO}| market for used laptop computer | Cut-off, S</t>
  </si>
  <si>
    <t>Used cable {GLO}| market for used cable | Cut-off, S</t>
  </si>
  <si>
    <t>Generic component split (E/P): 0.953/0.047</t>
  </si>
  <si>
    <t>Battery cell, Li-ion (LFP)</t>
  </si>
  <si>
    <t>Sub-assembly - Battery cell (LFP)</t>
  </si>
  <si>
    <t>pretty much done</t>
  </si>
  <si>
    <t>Activated carbon electrode</t>
  </si>
  <si>
    <t>Aluminum foil</t>
  </si>
  <si>
    <t>Sub-assembly - Supercapacitor cell</t>
  </si>
  <si>
    <t>Sulfuric acid</t>
  </si>
  <si>
    <t>market for sheet rolling, aluminium | sheet rolling, aluminium</t>
  </si>
  <si>
    <t>Sub-assembly - Activated carbon</t>
  </si>
  <si>
    <t>NMVOC, non-methane volatile organic compounds</t>
  </si>
  <si>
    <t>Aluminium, wrought alloy {GLO}| aluminium ingot, primary, to aluminium, wrought alloy market | Cut-off, S</t>
  </si>
  <si>
    <t>Packaging film, low density polyethylene {GLO}| market for packaging film, low density polyethylene | Cut-off, S</t>
  </si>
  <si>
    <t>Sub-assembly - Aluminium busbars</t>
  </si>
  <si>
    <t>Aluminium busbar</t>
  </si>
  <si>
    <t>mostly available (Singhal)</t>
  </si>
  <si>
    <t>Activated carbon</t>
  </si>
  <si>
    <t>Sub-assembly - Activated carbon electrode</t>
  </si>
  <si>
    <t>Wh</t>
  </si>
  <si>
    <t>x</t>
  </si>
  <si>
    <t>Sub-assembly - Sulfuric acid</t>
  </si>
  <si>
    <t>Sub-assembly - Aluminium foil</t>
  </si>
  <si>
    <t>Aluminium foil</t>
  </si>
  <si>
    <t>Spent solvent mixture {GLO}| market for | Cut-off, S</t>
  </si>
  <si>
    <t>Dimethyl sulfoxide {GLO}| market for dimethyl sulfoxide | Cut-off, S</t>
  </si>
  <si>
    <t>water</t>
  </si>
  <si>
    <t>Carbon dioxide</t>
  </si>
  <si>
    <t>Supercapacitor cell</t>
  </si>
  <si>
    <t>Lithium-ion batteries only use bimetallic busbars because Lithium can react with the aluminium from the current collector. Since this is not an issue with Supercapacitors,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</si>
  <si>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Since supercapacitor cells are heavier and larger (per unit of energy capacity), the energy-specific structural components (trays and housing) were adjusted by the weight factor (weight of supercapacitor cell / weight of Li-ion cell = 956)</t>
  </si>
  <si>
    <t>Kamali, A. K., Glogic, E., Keppetipola, N. M., Sonnemann, G., Toupance, T., &amp; Cojocaru, L. (2023). Prospective life cycle assessment of two supercapacitor architectures. ACS Sustainable Chemistry &amp; Engineering, 11(44), 15898-15909.</t>
  </si>
  <si>
    <t>Organic waste (including heavy ends, still bottoms, light ends, spent solvents, filtrates, and de...</t>
  </si>
  <si>
    <t>For the cocount shells, Kamali et al (2023) cite their earlier paper (Glogic et al, 2022), which states that 6.7 kg of coconuts were used for 1 kg of shells. Using economic allocation they attribute 6% of the impact to the shells, meaning their 3.65 kg of coconut shells correspond to the production of 1.47 kg of coconuts.</t>
  </si>
  <si>
    <t>Coconut, dehusked {RoW}| coconut production, dehusked | Cut-off, S</t>
  </si>
  <si>
    <t>Paper, woodcontaining, lightweight coated {RoW}| paper production, woodcontaining, lightweight coated | Cut-off, S</t>
  </si>
  <si>
    <t>Lubricant oil</t>
  </si>
  <si>
    <t>2.67E-02</t>
  </si>
  <si>
    <t>Transport, freight, lorry, 16-32 metric ton, diesel, EURO 6 {RoW}| transport, freight, lorry, 16-32 metric ton, diesel, EURO 6 | Cut-off, S</t>
  </si>
  <si>
    <t>COD (Chemical Oxygen Demand)</t>
  </si>
  <si>
    <t>BOD5 (Biological Oxygen Demand)</t>
  </si>
  <si>
    <t>unavailable</t>
  </si>
  <si>
    <t>maybe available from Cossutta</t>
  </si>
  <si>
    <t>Kallitsis et al (2024) refers to the following paper: Kallitsis, E., Lindsay, J. J., Chordia, M., Wu, B., Offer, G. J., &amp; Edge, J. S. (2024). Think global act local: The dependency of global lithium-ion battery emissions on production location and material sources. Journal of cleaner production, 449, 141725.</t>
  </si>
  <si>
    <t>Glogic et al (2022) refers to the following paper: Glogic, E., Kamali, A. K., Keppetipola, N. M., Alonge, B., Kumara, G. A., Sonnemann, G., ... &amp; Cojocaru, L. (2022). Life cycle assessment of supercapacitor electrodes based on activated carbon from coconut shells. ACS Sustainable Chemistry &amp; Engineering, 10(46), 15025-15034.</t>
  </si>
  <si>
    <t>PHES</t>
  </si>
  <si>
    <t>CAES</t>
  </si>
  <si>
    <t>Hydrogen</t>
  </si>
  <si>
    <t>Na-ion</t>
  </si>
  <si>
    <t>Li-ion (LFP)</t>
  </si>
  <si>
    <t>Power-specific (per kW discharge capacity)</t>
  </si>
  <si>
    <t>Energy-specific (per kWh discharge capacity)</t>
  </si>
  <si>
    <t>Electricity</t>
  </si>
  <si>
    <t>1 kWh</t>
  </si>
  <si>
    <r>
      <t>Ellingsen, L. A. W., Majeau‐Bettez, G., Singh, B., Srivastava, A. K., Valøen, L. O., &amp; Strømman, A. H. (2014). Life cycle assessment of a lithium‐ion battery vehicle pack. </t>
    </r>
    <r>
      <rPr>
        <i/>
        <sz val="10"/>
        <color rgb="FF222222"/>
        <rFont val="Arial"/>
        <family val="2"/>
      </rPr>
      <t>Journal of industrial ecology</t>
    </r>
    <r>
      <rPr>
        <sz val="10"/>
        <color rgb="FF222222"/>
        <rFont val="Arial"/>
        <family val="2"/>
      </rPr>
      <t>, </t>
    </r>
    <r>
      <rPr>
        <i/>
        <sz val="10"/>
        <color rgb="FF222222"/>
        <rFont val="Arial"/>
        <family val="2"/>
      </rPr>
      <t>18</t>
    </r>
    <r>
      <rPr>
        <sz val="10"/>
        <color rgb="FF222222"/>
        <rFont val="Arial"/>
        <family val="2"/>
      </rPr>
      <t>(1), 113-124.</t>
    </r>
  </si>
  <si>
    <r>
      <t>Peters, J. F., Baumann, M., Binder, J. R., &amp; Weil, M. (2021). On the environmental competitiveness of sodium-ion batteries under a full life cycle perspective–a cell-chemistry specific modelling approach. </t>
    </r>
    <r>
      <rPr>
        <i/>
        <sz val="10"/>
        <color rgb="FF222222"/>
        <rFont val="Arial"/>
        <family val="2"/>
      </rPr>
      <t>Sustainable Energy &amp; Fuels</t>
    </r>
    <r>
      <rPr>
        <sz val="10"/>
        <color rgb="FF222222"/>
        <rFont val="Arial"/>
        <family val="2"/>
      </rPr>
      <t>, </t>
    </r>
    <r>
      <rPr>
        <i/>
        <sz val="10"/>
        <color rgb="FF222222"/>
        <rFont val="Arial"/>
        <family val="2"/>
      </rPr>
      <t>5</t>
    </r>
    <r>
      <rPr>
        <sz val="10"/>
        <color rgb="FF222222"/>
        <rFont val="Arial"/>
        <family val="2"/>
      </rPr>
      <t>(24), 6414-6429.</t>
    </r>
  </si>
  <si>
    <r>
      <t>Peters, J., Buchholz, D., Passerini, S., &amp; Weil, M. (2016). Life cycle assessment of sodium-ion batteries. </t>
    </r>
    <r>
      <rPr>
        <i/>
        <sz val="10"/>
        <color rgb="FF222222"/>
        <rFont val="Arial"/>
        <family val="2"/>
      </rPr>
      <t>Energy &amp; Environmental Science</t>
    </r>
    <r>
      <rPr>
        <sz val="10"/>
        <color rgb="FF222222"/>
        <rFont val="Arial"/>
        <family val="2"/>
      </rPr>
      <t>, </t>
    </r>
    <r>
      <rPr>
        <i/>
        <sz val="10"/>
        <color rgb="FF222222"/>
        <rFont val="Arial"/>
        <family val="2"/>
      </rPr>
      <t>9</t>
    </r>
    <r>
      <rPr>
        <sz val="10"/>
        <color rgb="FF222222"/>
        <rFont val="Arial"/>
        <family val="2"/>
      </rPr>
      <t>(5), 1744-1751.</t>
    </r>
  </si>
  <si>
    <t>Sub-assembly - Battery cell (MMO)</t>
  </si>
  <si>
    <t>Aluminium busbars</t>
  </si>
  <si>
    <t>Na-ion MMO battery cell</t>
  </si>
  <si>
    <t>Multilayer pouch</t>
  </si>
  <si>
    <t>Aluminium tab</t>
  </si>
  <si>
    <t>Battery separator {GLO}| market for battery separator | Cut-off, S</t>
  </si>
  <si>
    <t>Heat, central or small-scale, natural gas {GLO}| market group for heat, central or small-scale, natural gas | Cut-off, S</t>
  </si>
  <si>
    <t>Transport, freight, lorry 16-32 metric ton, EURO5 {GLO}| market for | Cut-off, S</t>
  </si>
  <si>
    <t>Transport, freight, train, fleet average {GLO}| market group for transport, freight, train, fleet average | Cut-off, S</t>
  </si>
  <si>
    <t>Chemical factory, organics {GLO}| market for chemical factory, organics | Cut-off, S</t>
  </si>
  <si>
    <t>Layered oxide cathode</t>
  </si>
  <si>
    <t>Hard carbon anode</t>
  </si>
  <si>
    <t>kWh (cap)</t>
  </si>
  <si>
    <t>Hard carbon</t>
  </si>
  <si>
    <t>Sheet rolling, aluminium {GLO}| market for sheet rolling, aluminium | Cut-off, S</t>
  </si>
  <si>
    <t>Carboxymethyl cellulose, powder {GLO}| market for carboxymethyl cellulose, powder | Cut-off, S</t>
  </si>
  <si>
    <t>Styrene- butadiene rubber (SBR)</t>
  </si>
  <si>
    <t>Butadiene, crude {GLO}| market for butadiene, crude | Cut-off, S</t>
  </si>
  <si>
    <t>Styrene {GLO}| market for styrene | Cut-off, S</t>
  </si>
  <si>
    <t>Soap {GLO}| market for soap | Cut-off, S</t>
  </si>
  <si>
    <t>Cyclohexane {GLO}| market for cyclohexane | Cut-off, S</t>
  </si>
  <si>
    <t>Sodium persulfate {GLO}| market for sodium persulfate | Cut-off, S</t>
  </si>
  <si>
    <t>Sub-assembly - Styrene- butadiene rubber (SBR)</t>
  </si>
  <si>
    <t>Sub-assembly - Hard carbon</t>
  </si>
  <si>
    <t>Water, cooling, unspecified natural origin/m3</t>
  </si>
  <si>
    <t>Heat, waste</t>
  </si>
  <si>
    <t>Wastewater, unpolluted {RoW}| treatment of wastewater, unpolluted, wastewater treatment | Cut-off, S</t>
  </si>
  <si>
    <t>Sub-assembly - Hard carbon anode</t>
  </si>
  <si>
    <t>Hard carbon andoe</t>
  </si>
  <si>
    <t>Municipal solid waste {GLO}| treatment of municipal solid waste, open burning | Cut-off, S</t>
  </si>
  <si>
    <t>Wastewater, average {GLO}| market for | Cut-off, S</t>
  </si>
  <si>
    <t>Water</t>
  </si>
  <si>
    <t>Petroleum coke {GLO}| market for petroleum coke | Cut-off, S</t>
  </si>
  <si>
    <t>Nitrogen, liquid {RoW}| market for nitrogen, liquid | Cut-off, S</t>
  </si>
  <si>
    <t>Polyethylene, low density, granulate {GLO}| market for polyethylene, low density, granulate | Cut-off, S</t>
  </si>
  <si>
    <t>Sub-assembly - Layered oxide cathode</t>
  </si>
  <si>
    <t>Na-MMO active material</t>
  </si>
  <si>
    <t>Manganese(III) oxide {GLO}| market for manganese(III) oxide | Cut-off, S</t>
  </si>
  <si>
    <t>Magnesium oxide {GLO}| market for magnesium oxide | Cut-off, S</t>
  </si>
  <si>
    <t>Soda ash, light {GLO}| market for soda ash, light | Cut-off, S</t>
  </si>
  <si>
    <t>Oxygen, liquid {RoW}| market for oxygen, liquid | Cut-off, S</t>
  </si>
  <si>
    <t>Sub-assembly - Na-MMO active material</t>
  </si>
  <si>
    <t>Water, to air (high population density)</t>
  </si>
  <si>
    <t>Sub-assembly - Electrolyte</t>
  </si>
  <si>
    <t>Sub-assembly - Multilayer pouch</t>
  </si>
  <si>
    <t>Dimethyl carbonate</t>
  </si>
  <si>
    <t>Sodium hexafluorophosphate</t>
  </si>
  <si>
    <t>Sodium fluoride {GLO}| market for sodium fluoride | Cut-off, S</t>
  </si>
  <si>
    <t>Phosphorus pentachloride {GLO}| market for phosphorus pentachloride | Cut-off, S</t>
  </si>
  <si>
    <t>Hydrogen fluoride {GLO}| market for | Cut-off, S</t>
  </si>
  <si>
    <t>Lime, hydrated, packed {GLO}| market for | Cut-off, S</t>
  </si>
  <si>
    <t>Sub-assembly - Sodium hexafluorophosphate</t>
  </si>
  <si>
    <t>Phosphorus trichloride</t>
  </si>
  <si>
    <t>Limestone residue {RoW}| treatment of limestone residue, inert material landfill | Cut-off, S</t>
  </si>
  <si>
    <t>Wastewater, average {RoW}| treatment of wastewater, average, wastewater treatment | Cut-off, S</t>
  </si>
  <si>
    <t>Methanol {RoW}| market for methanol | Cut-off, S</t>
  </si>
  <si>
    <t>Sub-assembly - Dimethyl carbonate</t>
  </si>
  <si>
    <t>Polyethylene terephthalate, granulate, amorphous {GLO}| market for polyethylene terephthalate, granulate, amorphous | Cut-off, U</t>
  </si>
  <si>
    <t>Nylon 6 {GLO}| market for nylon 6 | Cut-off, S</t>
  </si>
  <si>
    <t>Aluminium casting facility {GLO}| market for aluminium casting facility | Cut-off, S</t>
  </si>
  <si>
    <t>Transport, freight, lorry &gt;32 metric ton, EURO3 {GLO}| market for | Cut-off, S</t>
  </si>
  <si>
    <t>Battery cell (MMO)</t>
  </si>
  <si>
    <t>kg/kWh</t>
  </si>
  <si>
    <t>Lithium-ion batteries only use bimetallic busbars because Lithium can react with the aluminium from the current collector. Since this is not an issue with Na-ion,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</si>
  <si>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We consider whether Sodium-ion battery cells are heavier and larger, because the energy-specific structural components (trays and housing) would have to be adjusted by the weight factor. However, we found this to be negligible with a ratio of Na-ion cell / weight of Li-ion cell = 1.04.</t>
  </si>
  <si>
    <t>Sub-assembly - Aluminium tab</t>
  </si>
  <si>
    <t>Porzio &amp; Scown (2021) report surprisingly high manufacturing energy requirements for all Lithium-ion battery types. Kallitsis et al (2024) appears more in line with other studies so that their number (excluding electrode active material) of 40 MWh per MWh of battery cell capacity is adopted here.</t>
  </si>
  <si>
    <t>Similarly to Lithium-ion batteries, manufacturing energy serves as a major source of uncertainty. For Sodium-ion batteries, though, it seems that Peters et al (2021) underestimate the energy. Both Peters et al (2021) and Ihlbrock et al (2025) find similar manufacturing energy impacts between Sodium-ion and Lithium-ion. As such, the 40 MWh per MWh of battery cell capacity from Kallitsis et al (2024) is also adopted here. Note that this meant that all energy requirements in any sub-assemblies have been excluded from the inventory. Additionally, the manufacturing energy for Sodium-ion batteries was reduced by the energy that is already embodied in the process "Battery separator {GLO}| market for battery separator | Cut-off, S".</t>
  </si>
  <si>
    <t>Ihlbrock et al (2025) refers to the following paper: Ihlbrock, L., Sehnal, A., Gutsch, M., &amp; Lux, S. (2025). Future energy demand for automotive and stationary lithium-and sodium-ion battery production towards a European circular economy. Energy &amp; Environmental Science, 18(19), 8724-8743.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</si>
</sst>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6" formatCode="0.000"/>
    <numFmt numFmtId="168" formatCode="0.0"/>
  </numFmts>
  <fonts count="12" x14ac:knownFonts="1">
    <font>
      <sz val="11"/>
      <color theme="1"/>
      <name val="Aptos Narrow"/>
      <family val="2"/>
      <scheme val="minor"/>
    </font>
    <font>
      <sz val="10"/>
      <color rgb="FF222222"/>
      <name val="Arial"/>
      <family val="2"/>
    </font>
    <font>
      <i/>
      <sz val="10"/>
      <color rgb="FF222222"/>
      <name val="Arial"/>
      <family val="2"/>
    </font>
    <font>
      <u/>
      <sz val="11"/>
      <color theme="1"/>
      <name val="Aptos Narrow"/>
      <family val="2"/>
      <scheme val="minor"/>
    </font>
    <font>
      <i/>
      <sz val="11"/>
      <color theme="1"/>
      <name val="Aptos Narrow"/>
      <family val="2"/>
      <scheme val="minor"/>
    </font>
    <font>
      <b/>
      <sz val="11"/>
      <color theme="1"/>
      <name val="Aptos Narrow"/>
      <family val="2"/>
      <scheme val="minor"/>
    </font>
    <font>
      <sz val="11"/>
      <color rgb="FF000000"/>
      <name val="Aptos Narrow"/>
      <family val="2"/>
      <scheme val="minor"/>
    </font>
    <font>
      <u/>
      <sz val="11"/>
      <color rgb="FF000000"/>
      <name val="Aptos Narrow"/>
      <family val="2"/>
      <scheme val="minor"/>
    </font>
    <font>
      <b/>
      <sz val="11"/>
      <color rgb="FF000000"/>
      <name val="Aptos Narrow"/>
      <family val="2"/>
      <scheme val="minor"/>
    </font>
    <font>
      <sz val="8"/>
      <name val="Arial"/>
      <family val="2"/>
    </font>
    <font>
      <sz val="12"/>
      <color theme="1"/>
      <name val="Aptos Narrow"/>
      <family val="2"/>
      <scheme val="minor"/>
    </font>
    <font>
      <sz val="12"/>
      <color theme="1"/>
      <name val="Aptos Narrow"/>
      <family val="2"/>
      <charset val="129"/>
      <scheme val="minor"/>
    </font>
  </fonts>
  <fills count="8">
    <fill>
      <patternFill patternType="none"/>
    </fill>
    <fill>
      <patternFill patternType="gray125"/>
    </fill>
    <fill>
      <patternFill patternType="solid">
        <fgColor theme="7"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00"/>
        <bgColor indexed="64"/>
      </patternFill>
    </fill>
  </fills>
  <borders count="24">
    <border>
      <left/>
      <right/>
      <top/>
      <bottom/>
      <diagonal/>
    </border>
    <border>
      <left/>
      <right/>
      <top/>
      <bottom style="thin">
        <color indexed="64"/>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s>
  <cellStyleXfs count="4">
    <xf numFmtId="0" fontId="0" fillId="0" borderId="0"/>
    <xf numFmtId="0" fontId="9" fillId="0" borderId="0"/>
    <xf numFmtId="0" fontId="10" fillId="0" borderId="0"/>
    <xf numFmtId="0" fontId="11" fillId="0" borderId="0"/>
  </cellStyleXfs>
  <cellXfs count="133">
    <xf numFmtId="0" fontId="0" fillId="0" borderId="0" xfId="0"/>
    <xf numFmtId="0" fontId="1" fillId="0" borderId="0" xfId="0" applyFont="1"/>
    <xf numFmtId="0" fontId="0" fillId="0" borderId="1" xfId="0" applyBorder="1"/>
    <xf numFmtId="0" fontId="0" fillId="0" borderId="0" xfId="0" applyAlignment="1">
      <alignment horizontal="left"/>
    </xf>
    <xf numFmtId="0" fontId="0" fillId="0" borderId="6" xfId="0" applyBorder="1" applyAlignment="1">
      <alignment horizontal="left"/>
    </xf>
    <xf numFmtId="0" fontId="0" fillId="0" borderId="7" xfId="0" applyBorder="1"/>
    <xf numFmtId="0" fontId="0" fillId="0" borderId="6"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12" xfId="0" applyBorder="1"/>
    <xf numFmtId="11" fontId="0" fillId="0" borderId="0" xfId="0" applyNumberFormat="1"/>
    <xf numFmtId="0" fontId="0" fillId="0" borderId="14" xfId="0" applyBorder="1"/>
    <xf numFmtId="0" fontId="0" fillId="0" borderId="7" xfId="0" applyBorder="1" applyAlignment="1">
      <alignment horizontal="left"/>
    </xf>
    <xf numFmtId="0" fontId="3" fillId="0" borderId="2" xfId="0" applyFont="1" applyBorder="1"/>
    <xf numFmtId="0" fontId="0" fillId="0" borderId="0" xfId="0" applyAlignment="1">
      <alignment horizontal="center"/>
    </xf>
    <xf numFmtId="0" fontId="3" fillId="0" borderId="0" xfId="0" applyFont="1"/>
    <xf numFmtId="0" fontId="0" fillId="0" borderId="0" xfId="0" applyAlignment="1">
      <alignment horizontal="right"/>
    </xf>
    <xf numFmtId="0" fontId="0" fillId="0" borderId="11" xfId="0" applyBorder="1" applyAlignment="1">
      <alignment horizontal="left"/>
    </xf>
    <xf numFmtId="0" fontId="0" fillId="0" borderId="2" xfId="0" applyBorder="1" applyAlignment="1">
      <alignment horizontal="left"/>
    </xf>
    <xf numFmtId="0" fontId="6" fillId="0" borderId="9" xfId="0" applyFont="1" applyBorder="1" applyAlignment="1">
      <alignment horizontal="center" vertical="center"/>
    </xf>
    <xf numFmtId="0" fontId="5" fillId="0" borderId="8" xfId="0" applyFont="1" applyBorder="1"/>
    <xf numFmtId="0" fontId="5" fillId="0" borderId="9" xfId="0" applyFont="1" applyBorder="1"/>
    <xf numFmtId="0" fontId="5" fillId="0" borderId="10" xfId="0" applyFont="1" applyBorder="1"/>
    <xf numFmtId="0" fontId="5" fillId="0" borderId="6" xfId="0" applyFont="1" applyBorder="1"/>
    <xf numFmtId="0" fontId="5" fillId="0" borderId="0" xfId="0" applyFont="1"/>
    <xf numFmtId="0" fontId="5" fillId="0" borderId="7" xfId="0" applyFont="1" applyBorder="1"/>
    <xf numFmtId="0" fontId="6" fillId="0" borderId="6" xfId="0" applyFont="1" applyBorder="1" applyAlignment="1">
      <alignment vertical="center"/>
    </xf>
    <xf numFmtId="11" fontId="6" fillId="0" borderId="0" xfId="0" applyNumberFormat="1" applyFont="1" applyAlignment="1">
      <alignment horizontal="center" vertical="center"/>
    </xf>
    <xf numFmtId="0" fontId="6" fillId="0" borderId="7" xfId="0" applyFont="1" applyBorder="1" applyAlignment="1">
      <alignment horizontal="center" vertical="center"/>
    </xf>
    <xf numFmtId="0" fontId="6" fillId="0" borderId="0" xfId="0" applyFont="1" applyAlignment="1">
      <alignment horizontal="center" vertical="center"/>
    </xf>
    <xf numFmtId="0" fontId="8" fillId="0" borderId="6" xfId="0" applyFont="1" applyBorder="1" applyAlignment="1">
      <alignment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6" fillId="0" borderId="8" xfId="0" applyFont="1" applyBorder="1" applyAlignment="1">
      <alignment vertical="center"/>
    </xf>
    <xf numFmtId="0" fontId="6" fillId="0" borderId="10" xfId="0" applyFont="1" applyBorder="1" applyAlignment="1">
      <alignment horizontal="center" vertical="center"/>
    </xf>
    <xf numFmtId="0" fontId="0" fillId="5" borderId="0" xfId="0" applyFill="1"/>
    <xf numFmtId="0" fontId="0" fillId="0" borderId="1" xfId="0" applyBorder="1" applyAlignment="1">
      <alignment horizontal="center"/>
    </xf>
    <xf numFmtId="0" fontId="6" fillId="0" borderId="0" xfId="0" applyFont="1"/>
    <xf numFmtId="0" fontId="6" fillId="0" borderId="1" xfId="0" applyFont="1" applyBorder="1"/>
    <xf numFmtId="0" fontId="0" fillId="0" borderId="6" xfId="0" applyBorder="1" applyAlignment="1">
      <alignment horizontal="center"/>
    </xf>
    <xf numFmtId="0" fontId="6" fillId="0" borderId="7" xfId="0" applyFont="1" applyBorder="1"/>
    <xf numFmtId="0" fontId="6" fillId="0" borderId="14" xfId="0" applyFont="1" applyBorder="1"/>
    <xf numFmtId="0" fontId="6" fillId="5" borderId="0" xfId="0" applyFont="1" applyFill="1"/>
    <xf numFmtId="0" fontId="0" fillId="0" borderId="13" xfId="0" applyBorder="1"/>
    <xf numFmtId="0" fontId="3" fillId="0" borderId="6" xfId="0" applyFont="1" applyBorder="1" applyAlignment="1">
      <alignment horizontal="center"/>
    </xf>
    <xf numFmtId="0" fontId="1" fillId="0" borderId="7" xfId="0" applyFont="1" applyBorder="1"/>
    <xf numFmtId="11" fontId="0" fillId="0" borderId="1" xfId="0" applyNumberFormat="1" applyBorder="1"/>
    <xf numFmtId="0" fontId="6" fillId="0" borderId="0" xfId="0" applyFont="1" applyAlignment="1">
      <alignment vertical="center"/>
    </xf>
    <xf numFmtId="0" fontId="0" fillId="0" borderId="8" xfId="0" applyBorder="1" applyAlignment="1">
      <alignment horizontal="left"/>
    </xf>
    <xf numFmtId="0" fontId="0" fillId="6" borderId="0" xfId="0" applyFill="1"/>
    <xf numFmtId="0" fontId="8" fillId="0" borderId="8" xfId="0" applyFont="1" applyBorder="1" applyAlignment="1">
      <alignment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5" borderId="6" xfId="0" applyFill="1" applyBorder="1"/>
    <xf numFmtId="0" fontId="0" fillId="7" borderId="9" xfId="0" applyFill="1" applyBorder="1"/>
    <xf numFmtId="11" fontId="0" fillId="0" borderId="9" xfId="0" applyNumberFormat="1" applyBorder="1"/>
    <xf numFmtId="0" fontId="0" fillId="0" borderId="15" xfId="0" applyBorder="1"/>
    <xf numFmtId="0" fontId="0" fillId="0" borderId="16" xfId="0" applyBorder="1"/>
    <xf numFmtId="0" fontId="0" fillId="0" borderId="3" xfId="0" applyBorder="1"/>
    <xf numFmtId="0" fontId="0" fillId="0" borderId="4" xfId="0" applyBorder="1"/>
    <xf numFmtId="0" fontId="0" fillId="0" borderId="21" xfId="0" applyBorder="1"/>
    <xf numFmtId="0" fontId="0" fillId="0" borderId="22" xfId="0" applyBorder="1"/>
    <xf numFmtId="0" fontId="3" fillId="0" borderId="7" xfId="0" applyFont="1" applyBorder="1" applyAlignment="1">
      <alignment horizontal="center"/>
    </xf>
    <xf numFmtId="0" fontId="8" fillId="0" borderId="0" xfId="0" applyFont="1" applyAlignment="1">
      <alignment vertical="center"/>
    </xf>
    <xf numFmtId="164" fontId="0" fillId="0" borderId="0" xfId="0" applyNumberFormat="1"/>
    <xf numFmtId="0" fontId="3" fillId="0" borderId="0" xfId="0" applyFont="1" applyAlignment="1">
      <alignment horizontal="center"/>
    </xf>
    <xf numFmtId="0" fontId="6" fillId="0" borderId="0" xfId="0" applyFont="1" applyAlignment="1">
      <alignment horizontal="right" vertical="center"/>
    </xf>
    <xf numFmtId="11" fontId="0" fillId="0" borderId="7" xfId="0" applyNumberFormat="1" applyBorder="1"/>
    <xf numFmtId="0" fontId="0" fillId="0" borderId="6" xfId="0" applyBorder="1" applyAlignment="1">
      <alignment horizontal="left"/>
    </xf>
    <xf numFmtId="0" fontId="0" fillId="0" borderId="0" xfId="0" applyAlignment="1">
      <alignment horizontal="left"/>
    </xf>
    <xf numFmtId="0" fontId="3" fillId="0" borderId="6" xfId="0" applyFont="1" applyBorder="1" applyAlignment="1">
      <alignment horizontal="center"/>
    </xf>
    <xf numFmtId="0" fontId="3" fillId="0" borderId="0" xfId="0" applyFont="1" applyAlignment="1">
      <alignment horizontal="center"/>
    </xf>
    <xf numFmtId="0" fontId="3" fillId="0" borderId="7" xfId="0" applyFont="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3" borderId="5"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4" borderId="5" xfId="0" applyFill="1" applyBorder="1" applyAlignment="1">
      <alignment horizontal="center"/>
    </xf>
    <xf numFmtId="0" fontId="0" fillId="0" borderId="0" xfId="0" applyAlignment="1">
      <alignment horizontal="center"/>
    </xf>
    <xf numFmtId="0" fontId="0" fillId="2" borderId="3" xfId="0"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0" fillId="0" borderId="8" xfId="0" applyBorder="1" applyAlignment="1">
      <alignment horizontal="left"/>
    </xf>
    <xf numFmtId="0" fontId="3" fillId="0" borderId="11" xfId="0" applyFont="1" applyBorder="1" applyAlignment="1">
      <alignment horizontal="center"/>
    </xf>
    <xf numFmtId="0" fontId="3" fillId="0" borderId="2" xfId="0" applyFont="1" applyBorder="1" applyAlignment="1">
      <alignment horizontal="center"/>
    </xf>
    <xf numFmtId="0" fontId="3" fillId="0" borderId="12" xfId="0" applyFont="1" applyBorder="1" applyAlignment="1">
      <alignment horizontal="center"/>
    </xf>
    <xf numFmtId="0" fontId="0" fillId="0" borderId="13" xfId="0" applyBorder="1" applyAlignment="1">
      <alignment horizontal="center"/>
    </xf>
    <xf numFmtId="0" fontId="0" fillId="0" borderId="1" xfId="0" applyBorder="1" applyAlignment="1">
      <alignment horizontal="center"/>
    </xf>
    <xf numFmtId="0" fontId="0" fillId="0" borderId="6" xfId="0"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0" borderId="13" xfId="0" applyBorder="1" applyAlignment="1">
      <alignment horizontal="left"/>
    </xf>
    <xf numFmtId="0" fontId="0" fillId="0" borderId="1" xfId="0" applyBorder="1" applyAlignment="1">
      <alignment horizontal="left"/>
    </xf>
    <xf numFmtId="0" fontId="0" fillId="0" borderId="2" xfId="0" applyBorder="1" applyAlignment="1">
      <alignment horizontal="center"/>
    </xf>
    <xf numFmtId="0" fontId="0" fillId="0" borderId="12" xfId="0" applyBorder="1" applyAlignment="1">
      <alignment horizontal="center"/>
    </xf>
    <xf numFmtId="0" fontId="0" fillId="0" borderId="7" xfId="0" applyBorder="1" applyAlignment="1">
      <alignment horizontal="center"/>
    </xf>
    <xf numFmtId="0" fontId="0" fillId="0" borderId="6" xfId="0" applyBorder="1" applyAlignment="1">
      <alignment horizontal="center" textRotation="90"/>
    </xf>
    <xf numFmtId="0" fontId="0" fillId="0" borderId="13" xfId="0" applyBorder="1" applyAlignment="1">
      <alignment horizontal="center" textRotation="90"/>
    </xf>
    <xf numFmtId="0" fontId="0" fillId="0" borderId="17" xfId="0" applyBorder="1" applyAlignment="1">
      <alignment horizontal="center"/>
    </xf>
    <xf numFmtId="0" fontId="0" fillId="0" borderId="4" xfId="0" applyBorder="1" applyAlignment="1">
      <alignment horizontal="center"/>
    </xf>
    <xf numFmtId="0" fontId="0" fillId="0" borderId="18" xfId="0" applyBorder="1" applyAlignment="1">
      <alignment horizontal="center"/>
    </xf>
    <xf numFmtId="164" fontId="0" fillId="0" borderId="15" xfId="0" applyNumberFormat="1" applyBorder="1"/>
    <xf numFmtId="164" fontId="0" fillId="0" borderId="16" xfId="0" applyNumberFormat="1" applyBorder="1"/>
    <xf numFmtId="164" fontId="0" fillId="0" borderId="22" xfId="0" applyNumberFormat="1" applyBorder="1"/>
    <xf numFmtId="164" fontId="0" fillId="0" borderId="23" xfId="0" applyNumberFormat="1" applyBorder="1"/>
    <xf numFmtId="166" fontId="0" fillId="0" borderId="15" xfId="0" applyNumberFormat="1" applyBorder="1"/>
    <xf numFmtId="166" fontId="0" fillId="0" borderId="0" xfId="0" applyNumberFormat="1"/>
    <xf numFmtId="166" fontId="0" fillId="0" borderId="16" xfId="0" applyNumberFormat="1" applyBorder="1"/>
    <xf numFmtId="2" fontId="0" fillId="0" borderId="15" xfId="0" applyNumberFormat="1" applyBorder="1"/>
    <xf numFmtId="2" fontId="0" fillId="0" borderId="0" xfId="0" applyNumberFormat="1"/>
    <xf numFmtId="2" fontId="0" fillId="0" borderId="16" xfId="0" applyNumberFormat="1" applyBorder="1"/>
    <xf numFmtId="2" fontId="0" fillId="0" borderId="19" xfId="0" applyNumberFormat="1" applyBorder="1"/>
    <xf numFmtId="2" fontId="0" fillId="0" borderId="9" xfId="0" applyNumberFormat="1" applyBorder="1"/>
    <xf numFmtId="2" fontId="0" fillId="0" borderId="20" xfId="0" applyNumberFormat="1" applyBorder="1"/>
    <xf numFmtId="168" fontId="0" fillId="0" borderId="15" xfId="0" applyNumberFormat="1" applyBorder="1"/>
    <xf numFmtId="168" fontId="0" fillId="0" borderId="0" xfId="0" applyNumberFormat="1"/>
    <xf numFmtId="168" fontId="0" fillId="0" borderId="16" xfId="0" applyNumberFormat="1" applyBorder="1"/>
    <xf numFmtId="11" fontId="0" fillId="0" borderId="15" xfId="0" applyNumberFormat="1" applyBorder="1"/>
    <xf numFmtId="11" fontId="0" fillId="0" borderId="16" xfId="0" applyNumberFormat="1" applyBorder="1"/>
    <xf numFmtId="1" fontId="0" fillId="0" borderId="15" xfId="0" applyNumberFormat="1" applyBorder="1"/>
    <xf numFmtId="1" fontId="0" fillId="0" borderId="0" xfId="0" applyNumberFormat="1"/>
    <xf numFmtId="1" fontId="0" fillId="0" borderId="16" xfId="0" applyNumberFormat="1" applyBorder="1"/>
  </cellXfs>
  <cellStyles count="4">
    <cellStyle name="Normal" xfId="0" builtinId="0"/>
    <cellStyle name="Normal 2" xfId="1" xr:uid="{BD40D60E-08A1-4D50-807E-1AF9DCF50BF3}"/>
    <cellStyle name="Standard 2" xfId="2" xr:uid="{D4C1ABBE-488B-441E-9312-51E983AB7163}"/>
    <cellStyle name="Standard 3" xfId="3" xr:uid="{06B0497F-9BBE-47BF-A4F2-A1DD3D4CE5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5A4D-979E-4D08-BD3D-186C691691E0}">
  <dimension ref="C3:E13"/>
  <sheetViews>
    <sheetView workbookViewId="0">
      <selection activeCell="F21" sqref="F21"/>
    </sheetView>
  </sheetViews>
  <sheetFormatPr defaultRowHeight="15" x14ac:dyDescent="0.25"/>
  <sheetData>
    <row r="3" spans="3:5" x14ac:dyDescent="0.25">
      <c r="C3" t="s">
        <v>594</v>
      </c>
      <c r="D3" t="s">
        <v>596</v>
      </c>
      <c r="E3" t="s">
        <v>597</v>
      </c>
    </row>
    <row r="4" spans="3:5" x14ac:dyDescent="0.25">
      <c r="C4" t="s">
        <v>595</v>
      </c>
      <c r="D4" s="52" t="s">
        <v>598</v>
      </c>
      <c r="E4" s="52" t="s">
        <v>598</v>
      </c>
    </row>
    <row r="5" spans="3:5" x14ac:dyDescent="0.25">
      <c r="C5" t="s">
        <v>599</v>
      </c>
      <c r="D5" s="52" t="s">
        <v>598</v>
      </c>
      <c r="E5" s="52" t="s">
        <v>598</v>
      </c>
    </row>
    <row r="6" spans="3:5" x14ac:dyDescent="0.25">
      <c r="C6" t="s">
        <v>600</v>
      </c>
      <c r="D6" s="52" t="s">
        <v>630</v>
      </c>
      <c r="E6" t="s">
        <v>642</v>
      </c>
    </row>
    <row r="7" spans="3:5" x14ac:dyDescent="0.25">
      <c r="C7" t="s">
        <v>601</v>
      </c>
      <c r="D7" s="52" t="s">
        <v>598</v>
      </c>
      <c r="E7" t="s">
        <v>667</v>
      </c>
    </row>
    <row r="8" spans="3:5" x14ac:dyDescent="0.25">
      <c r="C8" t="s">
        <v>602</v>
      </c>
      <c r="D8" s="52" t="s">
        <v>598</v>
      </c>
      <c r="E8" t="s">
        <v>603</v>
      </c>
    </row>
    <row r="9" spans="3:5" x14ac:dyDescent="0.25">
      <c r="C9" t="s">
        <v>604</v>
      </c>
      <c r="D9" s="52" t="s">
        <v>598</v>
      </c>
      <c r="E9" s="52" t="s">
        <v>598</v>
      </c>
    </row>
    <row r="10" spans="3:5" x14ac:dyDescent="0.25">
      <c r="C10" t="s">
        <v>605</v>
      </c>
      <c r="D10" s="52" t="s">
        <v>598</v>
      </c>
      <c r="E10" t="s">
        <v>606</v>
      </c>
    </row>
    <row r="11" spans="3:5" x14ac:dyDescent="0.25">
      <c r="C11" t="s">
        <v>607</v>
      </c>
      <c r="D11" s="52" t="s">
        <v>598</v>
      </c>
      <c r="E11" t="s">
        <v>668</v>
      </c>
    </row>
    <row r="12" spans="3:5" x14ac:dyDescent="0.25">
      <c r="C12" t="s">
        <v>608</v>
      </c>
      <c r="D12" s="52" t="s">
        <v>598</v>
      </c>
      <c r="E12" t="s">
        <v>606</v>
      </c>
    </row>
    <row r="13" spans="3:5" x14ac:dyDescent="0.25">
      <c r="C13" t="s">
        <v>609</v>
      </c>
      <c r="D13" s="52" t="s">
        <v>598</v>
      </c>
      <c r="E13" s="52" t="s">
        <v>598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2F5B0-60F4-4597-A97A-5117CEBAE5B3}">
  <dimension ref="B2:S98"/>
  <sheetViews>
    <sheetView topLeftCell="A9" workbookViewId="0">
      <selection activeCell="C42" sqref="C42"/>
    </sheetView>
  </sheetViews>
  <sheetFormatPr defaultRowHeight="15" x14ac:dyDescent="0.25"/>
  <cols>
    <col min="2" max="2" width="16" customWidth="1"/>
    <col min="3" max="3" width="58.28515625" customWidth="1"/>
    <col min="4" max="4" width="10" bestFit="1" customWidth="1"/>
    <col min="5" max="5" width="10.28515625" customWidth="1"/>
    <col min="7" max="7" width="11.42578125" customWidth="1"/>
    <col min="9" max="9" width="12.28515625" customWidth="1"/>
    <col min="10" max="10" width="37.5703125" customWidth="1"/>
  </cols>
  <sheetData>
    <row r="2" spans="2:19" x14ac:dyDescent="0.25">
      <c r="B2" t="s">
        <v>110</v>
      </c>
      <c r="C2" s="1" t="s">
        <v>3</v>
      </c>
    </row>
    <row r="3" spans="2:19" x14ac:dyDescent="0.25">
      <c r="C3" s="1" t="s">
        <v>4</v>
      </c>
    </row>
    <row r="5" spans="2:19" ht="15.75" thickBot="1" x14ac:dyDescent="0.3"/>
    <row r="6" spans="2:19" x14ac:dyDescent="0.25">
      <c r="B6" s="86" t="s">
        <v>0</v>
      </c>
      <c r="C6" s="87"/>
      <c r="D6" s="87"/>
      <c r="E6" s="88"/>
      <c r="G6" s="86" t="s">
        <v>16</v>
      </c>
      <c r="H6" s="87"/>
      <c r="I6" s="87"/>
      <c r="J6" s="88"/>
      <c r="S6">
        <v>118000</v>
      </c>
    </row>
    <row r="7" spans="2:19" x14ac:dyDescent="0.25">
      <c r="B7" s="74" t="s">
        <v>6</v>
      </c>
      <c r="C7" s="75"/>
      <c r="D7" s="75"/>
      <c r="E7" s="5" t="s">
        <v>35</v>
      </c>
      <c r="G7" s="74" t="s">
        <v>36</v>
      </c>
      <c r="H7" s="75"/>
      <c r="I7" s="75"/>
      <c r="J7" s="5">
        <v>118000</v>
      </c>
      <c r="S7">
        <v>390100</v>
      </c>
    </row>
    <row r="8" spans="2:19" x14ac:dyDescent="0.25">
      <c r="B8" s="74" t="s">
        <v>5</v>
      </c>
      <c r="C8" s="75"/>
      <c r="D8" s="75"/>
      <c r="E8" s="5" t="s">
        <v>8</v>
      </c>
      <c r="G8" s="74" t="s">
        <v>5</v>
      </c>
      <c r="H8" s="75"/>
      <c r="I8" s="75"/>
      <c r="J8" s="5" t="s">
        <v>8</v>
      </c>
    </row>
    <row r="9" spans="2:19" x14ac:dyDescent="0.25">
      <c r="B9" s="10"/>
      <c r="C9" s="11"/>
      <c r="D9" s="11"/>
      <c r="E9" s="12"/>
      <c r="G9" s="74" t="s">
        <v>71</v>
      </c>
      <c r="H9" s="75"/>
      <c r="I9" s="75"/>
      <c r="J9" s="5" t="s">
        <v>86</v>
      </c>
    </row>
    <row r="10" spans="2:19" x14ac:dyDescent="0.25">
      <c r="B10" s="76" t="s">
        <v>7</v>
      </c>
      <c r="C10" s="77"/>
      <c r="D10" s="77"/>
      <c r="E10" s="78"/>
      <c r="G10" s="74" t="s">
        <v>19</v>
      </c>
      <c r="H10" s="75"/>
      <c r="I10" s="75"/>
      <c r="J10" s="5" t="s">
        <v>21</v>
      </c>
    </row>
    <row r="11" spans="2:19" x14ac:dyDescent="0.25">
      <c r="B11" s="6" t="s">
        <v>9</v>
      </c>
      <c r="C11" t="s">
        <v>10</v>
      </c>
      <c r="D11" t="s">
        <v>11</v>
      </c>
      <c r="E11" s="5" t="s">
        <v>12</v>
      </c>
      <c r="G11" s="10" t="s">
        <v>17</v>
      </c>
      <c r="H11" s="11" t="s">
        <v>12</v>
      </c>
      <c r="I11" s="11" t="s">
        <v>18</v>
      </c>
      <c r="J11" s="12" t="s">
        <v>37</v>
      </c>
    </row>
    <row r="12" spans="2:19" x14ac:dyDescent="0.25">
      <c r="B12" s="74" t="s">
        <v>31</v>
      </c>
      <c r="C12" t="s">
        <v>81</v>
      </c>
      <c r="D12">
        <v>457688</v>
      </c>
      <c r="E12" s="5" t="s">
        <v>23</v>
      </c>
      <c r="G12" s="6" t="s">
        <v>39</v>
      </c>
      <c r="H12" t="s">
        <v>40</v>
      </c>
      <c r="I12">
        <v>23622230</v>
      </c>
      <c r="J12" s="5">
        <f>I12/$J$7</f>
        <v>200.18838983050847</v>
      </c>
    </row>
    <row r="13" spans="2:19" x14ac:dyDescent="0.25">
      <c r="B13" s="74"/>
      <c r="C13" t="s">
        <v>82</v>
      </c>
      <c r="D13">
        <v>411919</v>
      </c>
      <c r="E13" s="5" t="s">
        <v>23</v>
      </c>
      <c r="G13" s="6" t="s">
        <v>41</v>
      </c>
      <c r="H13" t="s">
        <v>42</v>
      </c>
      <c r="I13">
        <v>8.0876674000000008</v>
      </c>
      <c r="J13" s="5">
        <f t="shared" ref="J13:J29" si="0">I13/$J$7</f>
        <v>6.8539554237288146E-5</v>
      </c>
    </row>
    <row r="14" spans="2:19" x14ac:dyDescent="0.25">
      <c r="B14" s="74"/>
      <c r="C14" t="s">
        <v>79</v>
      </c>
      <c r="D14">
        <v>45769</v>
      </c>
      <c r="E14" s="5" t="s">
        <v>23</v>
      </c>
      <c r="G14" s="6" t="s">
        <v>43</v>
      </c>
      <c r="H14" t="s">
        <v>44</v>
      </c>
      <c r="I14">
        <v>1112910.8</v>
      </c>
      <c r="J14" s="5">
        <f t="shared" si="0"/>
        <v>9.4314474576271188</v>
      </c>
    </row>
    <row r="15" spans="2:19" x14ac:dyDescent="0.25">
      <c r="B15" s="4" t="s">
        <v>32</v>
      </c>
      <c r="C15" t="s">
        <v>80</v>
      </c>
      <c r="D15">
        <v>1016425</v>
      </c>
      <c r="E15" s="5" t="s">
        <v>23</v>
      </c>
      <c r="G15" s="6" t="s">
        <v>45</v>
      </c>
      <c r="H15" t="s">
        <v>46</v>
      </c>
      <c r="I15">
        <v>130832.28</v>
      </c>
      <c r="J15" s="5">
        <f t="shared" si="0"/>
        <v>1.1087481355932203</v>
      </c>
    </row>
    <row r="16" spans="2:19" x14ac:dyDescent="0.25">
      <c r="B16" s="4" t="s">
        <v>33</v>
      </c>
      <c r="C16" t="s">
        <v>74</v>
      </c>
      <c r="D16">
        <v>906240</v>
      </c>
      <c r="E16" s="5" t="s">
        <v>23</v>
      </c>
      <c r="G16" s="6" t="s">
        <v>47</v>
      </c>
      <c r="H16" t="s">
        <v>48</v>
      </c>
      <c r="I16">
        <v>75520.097999999998</v>
      </c>
      <c r="J16" s="5">
        <f t="shared" si="0"/>
        <v>0.64000083050847456</v>
      </c>
    </row>
    <row r="17" spans="2:10" x14ac:dyDescent="0.25">
      <c r="B17" s="74" t="s">
        <v>34</v>
      </c>
      <c r="C17" t="s">
        <v>83</v>
      </c>
      <c r="D17">
        <v>350217</v>
      </c>
      <c r="E17" s="5" t="s">
        <v>23</v>
      </c>
      <c r="G17" s="6" t="s">
        <v>49</v>
      </c>
      <c r="H17" t="s">
        <v>46</v>
      </c>
      <c r="I17">
        <v>134241.51</v>
      </c>
      <c r="J17" s="5">
        <f t="shared" si="0"/>
        <v>1.1376399152542374</v>
      </c>
    </row>
    <row r="18" spans="2:10" x14ac:dyDescent="0.25">
      <c r="B18" s="74"/>
      <c r="C18" t="s">
        <v>79</v>
      </c>
      <c r="D18">
        <v>150093</v>
      </c>
      <c r="E18" s="5" t="s">
        <v>23</v>
      </c>
      <c r="G18" s="6" t="s">
        <v>50</v>
      </c>
      <c r="H18" t="s">
        <v>51</v>
      </c>
      <c r="I18">
        <v>158294.95000000001</v>
      </c>
      <c r="J18" s="5">
        <f t="shared" si="0"/>
        <v>1.3414826271186442</v>
      </c>
    </row>
    <row r="19" spans="2:10" x14ac:dyDescent="0.25">
      <c r="B19" s="74" t="s">
        <v>30</v>
      </c>
      <c r="C19" t="s">
        <v>77</v>
      </c>
      <c r="D19">
        <v>33829011</v>
      </c>
      <c r="E19" s="5" t="s">
        <v>27</v>
      </c>
      <c r="G19" s="6" t="s">
        <v>52</v>
      </c>
      <c r="H19" t="s">
        <v>53</v>
      </c>
      <c r="I19">
        <v>22388.719000000001</v>
      </c>
      <c r="J19" s="5">
        <f t="shared" si="0"/>
        <v>0.18973490677966104</v>
      </c>
    </row>
    <row r="20" spans="2:10" x14ac:dyDescent="0.25">
      <c r="B20" s="74"/>
      <c r="C20" t="s">
        <v>76</v>
      </c>
      <c r="D20">
        <v>1942692</v>
      </c>
      <c r="E20" s="5" t="s">
        <v>26</v>
      </c>
      <c r="G20" s="6" t="s">
        <v>54</v>
      </c>
      <c r="H20" t="s">
        <v>55</v>
      </c>
      <c r="I20">
        <v>732.82258000000002</v>
      </c>
      <c r="J20" s="5">
        <f t="shared" si="0"/>
        <v>6.2103608474576273E-3</v>
      </c>
    </row>
    <row r="21" spans="2:10" ht="15.75" thickBot="1" x14ac:dyDescent="0.3">
      <c r="B21" s="89"/>
      <c r="C21" s="8" t="s">
        <v>74</v>
      </c>
      <c r="D21" s="8">
        <v>31705986</v>
      </c>
      <c r="E21" s="9" t="s">
        <v>23</v>
      </c>
      <c r="G21" s="6" t="s">
        <v>56</v>
      </c>
      <c r="H21" t="s">
        <v>57</v>
      </c>
      <c r="I21" s="13">
        <v>704780730</v>
      </c>
      <c r="J21" s="5">
        <f t="shared" si="0"/>
        <v>5972.7180508474576</v>
      </c>
    </row>
    <row r="22" spans="2:10" x14ac:dyDescent="0.25">
      <c r="G22" s="6" t="s">
        <v>58</v>
      </c>
      <c r="H22" t="s">
        <v>57</v>
      </c>
      <c r="I22">
        <v>13019004</v>
      </c>
      <c r="J22" s="5">
        <f t="shared" si="0"/>
        <v>110.33054237288135</v>
      </c>
    </row>
    <row r="23" spans="2:10" x14ac:dyDescent="0.25">
      <c r="B23" s="18"/>
      <c r="C23" s="18"/>
      <c r="D23" s="18"/>
      <c r="E23" s="18"/>
      <c r="G23" s="6" t="s">
        <v>59</v>
      </c>
      <c r="H23" t="s">
        <v>57</v>
      </c>
      <c r="I23">
        <v>16631035</v>
      </c>
      <c r="J23" s="5">
        <f t="shared" si="0"/>
        <v>140.94097457627117</v>
      </c>
    </row>
    <row r="24" spans="2:10" x14ac:dyDescent="0.25">
      <c r="G24" s="6" t="s">
        <v>60</v>
      </c>
      <c r="H24" t="s">
        <v>57</v>
      </c>
      <c r="I24">
        <v>37280330</v>
      </c>
      <c r="J24" s="5">
        <f t="shared" si="0"/>
        <v>315.935</v>
      </c>
    </row>
    <row r="25" spans="2:10" x14ac:dyDescent="0.25">
      <c r="G25" s="6" t="s">
        <v>61</v>
      </c>
      <c r="H25" t="s">
        <v>57</v>
      </c>
      <c r="I25" s="13">
        <v>206873140</v>
      </c>
      <c r="J25" s="5">
        <f t="shared" si="0"/>
        <v>1753.1622033898304</v>
      </c>
    </row>
    <row r="26" spans="2:10" x14ac:dyDescent="0.25">
      <c r="G26" s="6" t="s">
        <v>62</v>
      </c>
      <c r="H26" t="s">
        <v>63</v>
      </c>
      <c r="I26">
        <v>710380.91</v>
      </c>
      <c r="J26" s="5">
        <f t="shared" si="0"/>
        <v>6.0201772033898306</v>
      </c>
    </row>
    <row r="27" spans="2:10" x14ac:dyDescent="0.25">
      <c r="G27" s="6" t="s">
        <v>64</v>
      </c>
      <c r="H27" t="s">
        <v>65</v>
      </c>
      <c r="I27">
        <v>600857.23</v>
      </c>
      <c r="J27" s="5">
        <f t="shared" si="0"/>
        <v>5.0920104237288131</v>
      </c>
    </row>
    <row r="28" spans="2:10" x14ac:dyDescent="0.25">
      <c r="G28" s="6" t="s">
        <v>66</v>
      </c>
      <c r="H28" t="s">
        <v>67</v>
      </c>
      <c r="I28">
        <v>6017499.4000000004</v>
      </c>
      <c r="J28" s="5">
        <f t="shared" si="0"/>
        <v>50.99575762711865</v>
      </c>
    </row>
    <row r="29" spans="2:10" ht="15.75" thickBot="1" x14ac:dyDescent="0.3">
      <c r="G29" s="7" t="s">
        <v>68</v>
      </c>
      <c r="H29" s="8" t="s">
        <v>69</v>
      </c>
      <c r="I29" s="8">
        <v>139392.20000000001</v>
      </c>
      <c r="J29" s="9">
        <f t="shared" si="0"/>
        <v>1.1812898305084747</v>
      </c>
    </row>
    <row r="31" spans="2:10" ht="15.75" thickBot="1" x14ac:dyDescent="0.3"/>
    <row r="32" spans="2:10" x14ac:dyDescent="0.25">
      <c r="B32" s="79" t="s">
        <v>1</v>
      </c>
      <c r="C32" s="80"/>
      <c r="D32" s="80"/>
      <c r="E32" s="81"/>
      <c r="G32" s="79" t="s">
        <v>70</v>
      </c>
      <c r="H32" s="80"/>
      <c r="I32" s="80"/>
      <c r="J32" s="81"/>
    </row>
    <row r="33" spans="2:10" x14ac:dyDescent="0.25">
      <c r="B33" s="74" t="s">
        <v>14</v>
      </c>
      <c r="C33" s="75"/>
      <c r="D33" s="75"/>
      <c r="E33" s="5" t="s">
        <v>73</v>
      </c>
      <c r="G33" s="74" t="s">
        <v>38</v>
      </c>
      <c r="H33" s="75"/>
      <c r="I33" s="75"/>
      <c r="J33" s="5">
        <v>390100</v>
      </c>
    </row>
    <row r="34" spans="2:10" x14ac:dyDescent="0.25">
      <c r="B34" s="74" t="s">
        <v>15</v>
      </c>
      <c r="C34" s="75"/>
      <c r="D34" s="75"/>
      <c r="E34" s="5" t="s">
        <v>8</v>
      </c>
      <c r="G34" s="74" t="s">
        <v>15</v>
      </c>
      <c r="H34" s="75"/>
      <c r="I34" s="75"/>
      <c r="J34" s="5" t="s">
        <v>8</v>
      </c>
    </row>
    <row r="35" spans="2:10" x14ac:dyDescent="0.25">
      <c r="B35" s="10"/>
      <c r="C35" s="11"/>
      <c r="D35" s="11"/>
      <c r="E35" s="12"/>
      <c r="G35" s="74" t="s">
        <v>71</v>
      </c>
      <c r="H35" s="75"/>
      <c r="I35" s="75"/>
      <c r="J35" s="5" t="s">
        <v>86</v>
      </c>
    </row>
    <row r="36" spans="2:10" x14ac:dyDescent="0.25">
      <c r="B36" s="76" t="s">
        <v>7</v>
      </c>
      <c r="C36" s="77"/>
      <c r="D36" s="77"/>
      <c r="E36" s="78"/>
      <c r="G36" s="74" t="s">
        <v>19</v>
      </c>
      <c r="H36" s="75"/>
      <c r="I36" s="75"/>
      <c r="J36" s="5" t="s">
        <v>21</v>
      </c>
    </row>
    <row r="37" spans="2:10" x14ac:dyDescent="0.25">
      <c r="B37" s="6" t="s">
        <v>9</v>
      </c>
      <c r="C37" t="s">
        <v>10</v>
      </c>
      <c r="D37" t="s">
        <v>11</v>
      </c>
      <c r="E37" s="5" t="s">
        <v>12</v>
      </c>
      <c r="G37" s="10" t="s">
        <v>17</v>
      </c>
      <c r="H37" s="11" t="s">
        <v>12</v>
      </c>
      <c r="I37" s="11" t="s">
        <v>18</v>
      </c>
      <c r="J37" s="12" t="s">
        <v>20</v>
      </c>
    </row>
    <row r="38" spans="2:10" x14ac:dyDescent="0.25">
      <c r="B38" s="6" t="s">
        <v>22</v>
      </c>
      <c r="C38" t="s">
        <v>74</v>
      </c>
      <c r="D38">
        <v>77625000</v>
      </c>
      <c r="E38" s="5" t="s">
        <v>23</v>
      </c>
      <c r="G38" s="6" t="s">
        <v>39</v>
      </c>
      <c r="H38" t="s">
        <v>40</v>
      </c>
      <c r="I38">
        <v>42619412</v>
      </c>
      <c r="J38" s="5">
        <f>I38/$J$33</f>
        <v>109.25253012048192</v>
      </c>
    </row>
    <row r="39" spans="2:10" x14ac:dyDescent="0.25">
      <c r="B39" s="6" t="s">
        <v>24</v>
      </c>
      <c r="C39" t="s">
        <v>75</v>
      </c>
      <c r="D39">
        <v>753</v>
      </c>
      <c r="E39" s="5" t="s">
        <v>23</v>
      </c>
      <c r="G39" s="6" t="s">
        <v>41</v>
      </c>
      <c r="H39" t="s">
        <v>42</v>
      </c>
      <c r="I39">
        <v>13.610611</v>
      </c>
      <c r="J39" s="5">
        <f t="shared" ref="J39:J55" si="1">I39/$J$33</f>
        <v>3.4890056395795951E-5</v>
      </c>
    </row>
    <row r="40" spans="2:10" x14ac:dyDescent="0.25">
      <c r="B40" s="74" t="s">
        <v>25</v>
      </c>
      <c r="C40" t="s">
        <v>76</v>
      </c>
      <c r="D40">
        <v>2940504</v>
      </c>
      <c r="E40" s="5" t="s">
        <v>26</v>
      </c>
      <c r="G40" s="6" t="s">
        <v>43</v>
      </c>
      <c r="H40" t="s">
        <v>44</v>
      </c>
      <c r="I40">
        <v>2839634.4</v>
      </c>
      <c r="J40" s="5">
        <f t="shared" si="1"/>
        <v>7.279247372468598</v>
      </c>
    </row>
    <row r="41" spans="2:10" x14ac:dyDescent="0.25">
      <c r="B41" s="74"/>
      <c r="C41" t="s">
        <v>77</v>
      </c>
      <c r="D41">
        <v>111974400</v>
      </c>
      <c r="E41" s="5" t="s">
        <v>27</v>
      </c>
      <c r="G41" s="6" t="s">
        <v>45</v>
      </c>
      <c r="H41" t="s">
        <v>46</v>
      </c>
      <c r="I41">
        <v>215467.78</v>
      </c>
      <c r="J41" s="5">
        <f t="shared" si="1"/>
        <v>0.55233986157395543</v>
      </c>
    </row>
    <row r="42" spans="2:10" x14ac:dyDescent="0.25">
      <c r="B42" s="74"/>
      <c r="C42" t="s">
        <v>78</v>
      </c>
      <c r="D42">
        <v>103680</v>
      </c>
      <c r="E42" s="5" t="s">
        <v>28</v>
      </c>
      <c r="G42" s="6" t="s">
        <v>47</v>
      </c>
      <c r="H42" t="s">
        <v>48</v>
      </c>
      <c r="I42">
        <v>86524.057000000001</v>
      </c>
      <c r="J42" s="5">
        <f t="shared" si="1"/>
        <v>0.22179968469623174</v>
      </c>
    </row>
    <row r="43" spans="2:10" x14ac:dyDescent="0.25">
      <c r="B43" s="74" t="s">
        <v>29</v>
      </c>
      <c r="C43" t="s">
        <v>77</v>
      </c>
      <c r="D43">
        <v>4491951</v>
      </c>
      <c r="E43" s="5" t="s">
        <v>27</v>
      </c>
      <c r="G43" s="6" t="s">
        <v>49</v>
      </c>
      <c r="H43" t="s">
        <v>46</v>
      </c>
      <c r="I43">
        <v>220983.76</v>
      </c>
      <c r="J43" s="5">
        <f t="shared" si="1"/>
        <v>0.56647977441681618</v>
      </c>
    </row>
    <row r="44" spans="2:10" ht="15.75" thickBot="1" x14ac:dyDescent="0.3">
      <c r="B44" s="89"/>
      <c r="C44" s="8" t="s">
        <v>76</v>
      </c>
      <c r="D44" s="8">
        <v>466637</v>
      </c>
      <c r="E44" s="9" t="s">
        <v>26</v>
      </c>
      <c r="G44" s="6" t="s">
        <v>50</v>
      </c>
      <c r="H44" t="s">
        <v>51</v>
      </c>
      <c r="I44">
        <v>149610.85</v>
      </c>
      <c r="J44" s="5">
        <f t="shared" si="1"/>
        <v>0.38351922583952835</v>
      </c>
    </row>
    <row r="45" spans="2:10" x14ac:dyDescent="0.25">
      <c r="G45" s="6" t="s">
        <v>52</v>
      </c>
      <c r="H45" t="s">
        <v>53</v>
      </c>
      <c r="I45">
        <v>16242.944</v>
      </c>
      <c r="J45" s="5">
        <f t="shared" si="1"/>
        <v>4.1637897974878234E-2</v>
      </c>
    </row>
    <row r="46" spans="2:10" x14ac:dyDescent="0.25">
      <c r="B46" s="18"/>
      <c r="C46" s="18"/>
      <c r="D46" s="18"/>
      <c r="E46" s="18"/>
      <c r="G46" s="6" t="s">
        <v>54</v>
      </c>
      <c r="H46" t="s">
        <v>55</v>
      </c>
      <c r="I46">
        <v>880.89383999999995</v>
      </c>
      <c r="J46" s="5">
        <f t="shared" si="1"/>
        <v>2.258123147910792E-3</v>
      </c>
    </row>
    <row r="47" spans="2:10" x14ac:dyDescent="0.25">
      <c r="G47" s="6" t="s">
        <v>56</v>
      </c>
      <c r="H47" t="s">
        <v>57</v>
      </c>
      <c r="I47">
        <v>58102452</v>
      </c>
      <c r="J47" s="5">
        <f t="shared" si="1"/>
        <v>148.94245578056908</v>
      </c>
    </row>
    <row r="48" spans="2:10" x14ac:dyDescent="0.25">
      <c r="G48" s="6" t="s">
        <v>58</v>
      </c>
      <c r="H48" t="s">
        <v>57</v>
      </c>
      <c r="I48">
        <v>880309.04</v>
      </c>
      <c r="J48" s="5">
        <f t="shared" si="1"/>
        <v>2.2566240451166371</v>
      </c>
    </row>
    <row r="49" spans="2:10" x14ac:dyDescent="0.25">
      <c r="G49" s="6" t="s">
        <v>59</v>
      </c>
      <c r="H49" t="s">
        <v>57</v>
      </c>
      <c r="I49">
        <v>1207551.2</v>
      </c>
      <c r="J49" s="5">
        <f t="shared" si="1"/>
        <v>3.0954914124583439</v>
      </c>
    </row>
    <row r="50" spans="2:10" x14ac:dyDescent="0.25">
      <c r="G50" s="6" t="s">
        <v>60</v>
      </c>
      <c r="H50" t="s">
        <v>57</v>
      </c>
      <c r="I50">
        <v>5635961.0999999996</v>
      </c>
      <c r="J50" s="5">
        <f t="shared" si="1"/>
        <v>14.44747782619841</v>
      </c>
    </row>
    <row r="51" spans="2:10" x14ac:dyDescent="0.25">
      <c r="G51" s="6" t="s">
        <v>61</v>
      </c>
      <c r="H51" t="s">
        <v>57</v>
      </c>
      <c r="I51">
        <v>30813441</v>
      </c>
      <c r="J51" s="5">
        <f t="shared" si="1"/>
        <v>78.988569597539097</v>
      </c>
    </row>
    <row r="52" spans="2:10" x14ac:dyDescent="0.25">
      <c r="G52" s="6" t="s">
        <v>62</v>
      </c>
      <c r="H52" t="s">
        <v>63</v>
      </c>
      <c r="I52">
        <v>976325.61</v>
      </c>
      <c r="J52" s="5">
        <f t="shared" si="1"/>
        <v>2.5027572673673415</v>
      </c>
    </row>
    <row r="53" spans="2:10" x14ac:dyDescent="0.25">
      <c r="G53" s="6" t="s">
        <v>64</v>
      </c>
      <c r="H53" t="s">
        <v>65</v>
      </c>
      <c r="I53">
        <v>64220.226999999999</v>
      </c>
      <c r="J53" s="5">
        <f t="shared" si="1"/>
        <v>0.16462503716995641</v>
      </c>
    </row>
    <row r="54" spans="2:10" x14ac:dyDescent="0.25">
      <c r="G54" s="6" t="s">
        <v>66</v>
      </c>
      <c r="H54" t="s">
        <v>67</v>
      </c>
      <c r="I54">
        <v>10956645</v>
      </c>
      <c r="J54" s="5">
        <f t="shared" si="1"/>
        <v>28.086759805178158</v>
      </c>
    </row>
    <row r="55" spans="2:10" ht="15.75" thickBot="1" x14ac:dyDescent="0.3">
      <c r="G55" s="7" t="s">
        <v>68</v>
      </c>
      <c r="H55" s="8" t="s">
        <v>69</v>
      </c>
      <c r="I55" s="8">
        <v>202283.74</v>
      </c>
      <c r="J55" s="9">
        <f t="shared" si="1"/>
        <v>0.51854329659061782</v>
      </c>
    </row>
    <row r="58" spans="2:10" x14ac:dyDescent="0.25">
      <c r="B58" t="s">
        <v>84</v>
      </c>
      <c r="C58" t="s">
        <v>85</v>
      </c>
    </row>
    <row r="94" spans="10:10" x14ac:dyDescent="0.25">
      <c r="J94" s="13"/>
    </row>
    <row r="98" spans="10:10" x14ac:dyDescent="0.25">
      <c r="J98" s="13"/>
    </row>
  </sheetData>
  <mergeCells count="23">
    <mergeCell ref="B40:B42"/>
    <mergeCell ref="B43:B44"/>
    <mergeCell ref="B19:B21"/>
    <mergeCell ref="G10:I10"/>
    <mergeCell ref="B32:E32"/>
    <mergeCell ref="B10:E10"/>
    <mergeCell ref="G36:I36"/>
    <mergeCell ref="B6:E6"/>
    <mergeCell ref="B33:D33"/>
    <mergeCell ref="B34:D34"/>
    <mergeCell ref="B36:E36"/>
    <mergeCell ref="B12:B14"/>
    <mergeCell ref="B17:B18"/>
    <mergeCell ref="B7:D7"/>
    <mergeCell ref="B8:D8"/>
    <mergeCell ref="G6:J6"/>
    <mergeCell ref="G7:I7"/>
    <mergeCell ref="G8:I8"/>
    <mergeCell ref="G9:I9"/>
    <mergeCell ref="G35:I35"/>
    <mergeCell ref="G32:J32"/>
    <mergeCell ref="G33:I33"/>
    <mergeCell ref="G34:I3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CEBE-E6CA-497F-80A6-FA9C5758E74B}">
  <dimension ref="B2:K103"/>
  <sheetViews>
    <sheetView topLeftCell="C1" zoomScale="85" zoomScaleNormal="85" workbookViewId="0">
      <selection activeCell="J44" sqref="J44:J61"/>
    </sheetView>
  </sheetViews>
  <sheetFormatPr defaultRowHeight="15" x14ac:dyDescent="0.25"/>
  <cols>
    <col min="2" max="2" width="34.42578125" customWidth="1"/>
    <col min="3" max="3" width="77" customWidth="1"/>
    <col min="7" max="7" width="36.85546875" customWidth="1"/>
    <col min="8" max="8" width="12.42578125" customWidth="1"/>
    <col min="9" max="9" width="12.28515625" customWidth="1"/>
    <col min="10" max="10" width="37.5703125" customWidth="1"/>
  </cols>
  <sheetData>
    <row r="2" spans="2:10" x14ac:dyDescent="0.25">
      <c r="B2" t="s">
        <v>2</v>
      </c>
      <c r="C2" s="1" t="s">
        <v>125</v>
      </c>
    </row>
    <row r="3" spans="2:10" x14ac:dyDescent="0.25">
      <c r="B3" s="19" t="s">
        <v>126</v>
      </c>
      <c r="C3" s="1" t="s">
        <v>3</v>
      </c>
    </row>
    <row r="4" spans="2:10" x14ac:dyDescent="0.25">
      <c r="B4" s="19" t="s">
        <v>127</v>
      </c>
      <c r="C4" s="1" t="s">
        <v>128</v>
      </c>
    </row>
    <row r="5" spans="2:10" ht="15.75" thickBot="1" x14ac:dyDescent="0.3"/>
    <row r="6" spans="2:10" x14ac:dyDescent="0.25">
      <c r="B6" s="86" t="s">
        <v>0</v>
      </c>
      <c r="C6" s="87"/>
      <c r="D6" s="87"/>
      <c r="E6" s="88"/>
      <c r="G6" s="86" t="s">
        <v>16</v>
      </c>
      <c r="H6" s="87"/>
      <c r="I6" s="87"/>
      <c r="J6" s="88"/>
    </row>
    <row r="7" spans="2:10" x14ac:dyDescent="0.25">
      <c r="B7" s="74" t="s">
        <v>6</v>
      </c>
      <c r="C7" s="75"/>
      <c r="D7" s="75"/>
      <c r="E7" s="5" t="s">
        <v>167</v>
      </c>
      <c r="G7" s="74" t="s">
        <v>36</v>
      </c>
      <c r="H7" s="75"/>
      <c r="I7" s="75"/>
      <c r="J7" s="5">
        <v>10000</v>
      </c>
    </row>
    <row r="8" spans="2:10" x14ac:dyDescent="0.25">
      <c r="B8" s="74" t="s">
        <v>5</v>
      </c>
      <c r="C8" s="75"/>
      <c r="D8" s="75"/>
      <c r="E8" s="5" t="s">
        <v>8</v>
      </c>
      <c r="G8" s="74" t="s">
        <v>5</v>
      </c>
      <c r="H8" s="75"/>
      <c r="I8" s="75"/>
      <c r="J8" s="5" t="s">
        <v>8</v>
      </c>
    </row>
    <row r="9" spans="2:10" x14ac:dyDescent="0.25">
      <c r="B9" s="20"/>
      <c r="C9" s="21"/>
      <c r="D9" s="21"/>
      <c r="E9" s="12"/>
      <c r="G9" s="74" t="s">
        <v>71</v>
      </c>
      <c r="H9" s="75"/>
      <c r="I9" s="75"/>
      <c r="J9" s="5" t="s">
        <v>86</v>
      </c>
    </row>
    <row r="10" spans="2:10" x14ac:dyDescent="0.25">
      <c r="B10" s="76" t="s">
        <v>7</v>
      </c>
      <c r="C10" s="77"/>
      <c r="D10" s="77"/>
      <c r="E10" s="78"/>
      <c r="G10" s="74" t="s">
        <v>19</v>
      </c>
      <c r="H10" s="75"/>
      <c r="I10" s="75"/>
      <c r="J10" s="5" t="s">
        <v>21</v>
      </c>
    </row>
    <row r="11" spans="2:10" x14ac:dyDescent="0.25">
      <c r="B11" s="6" t="s">
        <v>9</v>
      </c>
      <c r="C11" t="s">
        <v>10</v>
      </c>
      <c r="D11" t="s">
        <v>11</v>
      </c>
      <c r="E11" s="5" t="s">
        <v>12</v>
      </c>
      <c r="G11" s="10" t="s">
        <v>17</v>
      </c>
      <c r="H11" s="11" t="s">
        <v>12</v>
      </c>
      <c r="I11" s="11" t="s">
        <v>18</v>
      </c>
      <c r="J11" s="12" t="s">
        <v>37</v>
      </c>
    </row>
    <row r="12" spans="2:10" x14ac:dyDescent="0.25">
      <c r="B12" s="74" t="s">
        <v>145</v>
      </c>
      <c r="C12" t="s">
        <v>140</v>
      </c>
      <c r="D12">
        <v>2880</v>
      </c>
      <c r="E12" s="5" t="s">
        <v>23</v>
      </c>
      <c r="G12" s="6" t="s">
        <v>39</v>
      </c>
      <c r="H12" t="s">
        <v>40</v>
      </c>
      <c r="I12">
        <v>828519.24</v>
      </c>
      <c r="J12" s="5">
        <f>I12/$J$7</f>
        <v>82.851923999999997</v>
      </c>
    </row>
    <row r="13" spans="2:10" x14ac:dyDescent="0.25">
      <c r="B13" s="74"/>
      <c r="C13" t="s">
        <v>80</v>
      </c>
      <c r="D13">
        <v>81.599999999999994</v>
      </c>
      <c r="E13" s="5" t="s">
        <v>23</v>
      </c>
      <c r="G13" s="6" t="s">
        <v>41</v>
      </c>
      <c r="H13" t="s">
        <v>42</v>
      </c>
      <c r="I13">
        <v>0.23972731999999999</v>
      </c>
      <c r="J13" s="5">
        <f t="shared" ref="J13:J29" si="0">I13/$J$7</f>
        <v>2.3972731999999999E-5</v>
      </c>
    </row>
    <row r="14" spans="2:10" x14ac:dyDescent="0.25">
      <c r="B14" s="74"/>
      <c r="C14" t="s">
        <v>82</v>
      </c>
      <c r="D14">
        <v>2100</v>
      </c>
      <c r="E14" s="5" t="s">
        <v>23</v>
      </c>
      <c r="G14" s="6" t="s">
        <v>43</v>
      </c>
      <c r="H14" t="s">
        <v>44</v>
      </c>
      <c r="I14">
        <v>49521.298000000003</v>
      </c>
      <c r="J14" s="5">
        <f t="shared" si="0"/>
        <v>4.9521298000000007</v>
      </c>
    </row>
    <row r="15" spans="2:10" x14ac:dyDescent="0.25">
      <c r="B15" s="74"/>
      <c r="C15" t="s">
        <v>83</v>
      </c>
      <c r="D15">
        <v>2040</v>
      </c>
      <c r="E15" s="5" t="s">
        <v>23</v>
      </c>
      <c r="G15" s="6" t="s">
        <v>45</v>
      </c>
      <c r="H15" t="s">
        <v>46</v>
      </c>
      <c r="I15">
        <v>2581.3271</v>
      </c>
      <c r="J15" s="5">
        <f t="shared" si="0"/>
        <v>0.25813270999999999</v>
      </c>
    </row>
    <row r="16" spans="2:10" x14ac:dyDescent="0.25">
      <c r="B16" s="74"/>
      <c r="C16" t="s">
        <v>79</v>
      </c>
      <c r="D16">
        <v>80.7</v>
      </c>
      <c r="E16" s="5" t="s">
        <v>23</v>
      </c>
      <c r="G16" s="6" t="s">
        <v>47</v>
      </c>
      <c r="H16" t="s">
        <v>48</v>
      </c>
      <c r="I16">
        <v>2899.6704</v>
      </c>
      <c r="J16" s="5">
        <f t="shared" si="0"/>
        <v>0.28996704000000001</v>
      </c>
    </row>
    <row r="17" spans="2:10" x14ac:dyDescent="0.25">
      <c r="B17" s="74"/>
      <c r="C17" t="s">
        <v>141</v>
      </c>
      <c r="D17">
        <v>324</v>
      </c>
      <c r="E17" s="5" t="s">
        <v>23</v>
      </c>
      <c r="G17" s="6" t="s">
        <v>49</v>
      </c>
      <c r="H17" t="s">
        <v>46</v>
      </c>
      <c r="I17">
        <v>2655.0151000000001</v>
      </c>
      <c r="J17" s="5">
        <f t="shared" si="0"/>
        <v>0.26550151</v>
      </c>
    </row>
    <row r="18" spans="2:10" x14ac:dyDescent="0.25">
      <c r="B18" s="74"/>
      <c r="C18" t="s">
        <v>137</v>
      </c>
      <c r="D18">
        <v>5060</v>
      </c>
      <c r="E18" s="5" t="s">
        <v>23</v>
      </c>
      <c r="G18" s="6" t="s">
        <v>50</v>
      </c>
      <c r="H18" t="s">
        <v>51</v>
      </c>
      <c r="I18">
        <v>7394.2080999999998</v>
      </c>
      <c r="J18" s="5">
        <f t="shared" si="0"/>
        <v>0.73942080999999993</v>
      </c>
    </row>
    <row r="19" spans="2:10" x14ac:dyDescent="0.25">
      <c r="B19" s="74"/>
      <c r="C19" t="s">
        <v>142</v>
      </c>
      <c r="D19">
        <v>80.7</v>
      </c>
      <c r="E19" s="5" t="s">
        <v>23</v>
      </c>
      <c r="G19" s="6" t="s">
        <v>52</v>
      </c>
      <c r="H19" t="s">
        <v>53</v>
      </c>
      <c r="I19">
        <v>1054.7843</v>
      </c>
      <c r="J19" s="5">
        <f t="shared" si="0"/>
        <v>0.10547843</v>
      </c>
    </row>
    <row r="20" spans="2:10" x14ac:dyDescent="0.25">
      <c r="B20" s="74"/>
      <c r="C20" t="s">
        <v>143</v>
      </c>
      <c r="D20">
        <v>50</v>
      </c>
      <c r="E20" s="5" t="s">
        <v>88</v>
      </c>
      <c r="G20" s="6" t="s">
        <v>54</v>
      </c>
      <c r="H20" t="s">
        <v>55</v>
      </c>
      <c r="I20">
        <v>33.246606999999997</v>
      </c>
      <c r="J20" s="5">
        <f t="shared" si="0"/>
        <v>3.3246606999999999E-3</v>
      </c>
    </row>
    <row r="21" spans="2:10" x14ac:dyDescent="0.25">
      <c r="B21" s="74"/>
      <c r="C21" t="s">
        <v>144</v>
      </c>
      <c r="D21">
        <v>61.57</v>
      </c>
      <c r="E21" s="5" t="s">
        <v>23</v>
      </c>
      <c r="G21" s="6" t="s">
        <v>56</v>
      </c>
      <c r="H21" t="s">
        <v>57</v>
      </c>
      <c r="I21">
        <v>16660252</v>
      </c>
      <c r="J21" s="5">
        <f t="shared" si="0"/>
        <v>1666.0252</v>
      </c>
    </row>
    <row r="22" spans="2:10" x14ac:dyDescent="0.25">
      <c r="B22" s="74"/>
      <c r="C22" t="s">
        <v>138</v>
      </c>
      <c r="D22">
        <v>6426.9480000000003</v>
      </c>
      <c r="E22" s="5" t="s">
        <v>23</v>
      </c>
      <c r="G22" s="6" t="s">
        <v>58</v>
      </c>
      <c r="H22" t="s">
        <v>57</v>
      </c>
      <c r="I22">
        <v>678287.13</v>
      </c>
      <c r="J22" s="5">
        <f t="shared" si="0"/>
        <v>67.828712999999993</v>
      </c>
    </row>
    <row r="23" spans="2:10" x14ac:dyDescent="0.25">
      <c r="B23" s="74" t="s">
        <v>139</v>
      </c>
      <c r="C23" t="s">
        <v>80</v>
      </c>
      <c r="D23">
        <v>213760</v>
      </c>
      <c r="E23" s="5" t="s">
        <v>23</v>
      </c>
      <c r="G23" s="6" t="s">
        <v>59</v>
      </c>
      <c r="H23" t="s">
        <v>57</v>
      </c>
      <c r="I23">
        <v>876748.42</v>
      </c>
      <c r="J23" s="5">
        <f t="shared" si="0"/>
        <v>87.674841999999998</v>
      </c>
    </row>
    <row r="24" spans="2:10" x14ac:dyDescent="0.25">
      <c r="B24" s="74"/>
      <c r="C24" t="s">
        <v>137</v>
      </c>
      <c r="D24">
        <v>213760</v>
      </c>
      <c r="E24" s="5" t="s">
        <v>23</v>
      </c>
      <c r="G24" s="6" t="s">
        <v>60</v>
      </c>
      <c r="H24" t="s">
        <v>57</v>
      </c>
      <c r="I24">
        <v>7084911.0999999996</v>
      </c>
      <c r="J24" s="5">
        <f t="shared" si="0"/>
        <v>708.49110999999994</v>
      </c>
    </row>
    <row r="25" spans="2:10" ht="15.75" thickBot="1" x14ac:dyDescent="0.3">
      <c r="B25" s="89"/>
      <c r="C25" s="8" t="s">
        <v>138</v>
      </c>
      <c r="D25" s="8">
        <v>193452</v>
      </c>
      <c r="E25" s="9" t="s">
        <v>23</v>
      </c>
      <c r="G25" s="6" t="s">
        <v>61</v>
      </c>
      <c r="H25" t="s">
        <v>57</v>
      </c>
      <c r="I25">
        <v>11033386</v>
      </c>
      <c r="J25" s="5">
        <f t="shared" si="0"/>
        <v>1103.3386</v>
      </c>
    </row>
    <row r="26" spans="2:10" x14ac:dyDescent="0.25">
      <c r="G26" s="6" t="s">
        <v>62</v>
      </c>
      <c r="H26" t="s">
        <v>63</v>
      </c>
      <c r="I26">
        <v>41002.023000000001</v>
      </c>
      <c r="J26" s="5">
        <f t="shared" si="0"/>
        <v>4.1002023000000003</v>
      </c>
    </row>
    <row r="27" spans="2:10" x14ac:dyDescent="0.25">
      <c r="G27" s="6" t="s">
        <v>64</v>
      </c>
      <c r="H27" t="s">
        <v>65</v>
      </c>
      <c r="I27">
        <v>48364.343999999997</v>
      </c>
      <c r="J27" s="5">
        <f t="shared" si="0"/>
        <v>4.8364343999999999</v>
      </c>
    </row>
    <row r="28" spans="2:10" x14ac:dyDescent="0.25">
      <c r="G28" s="6" t="s">
        <v>66</v>
      </c>
      <c r="H28" t="s">
        <v>67</v>
      </c>
      <c r="I28">
        <v>207419.53</v>
      </c>
      <c r="J28" s="5">
        <f t="shared" si="0"/>
        <v>20.741952999999999</v>
      </c>
    </row>
    <row r="29" spans="2:10" ht="15.75" thickBot="1" x14ac:dyDescent="0.3">
      <c r="G29" s="7" t="s">
        <v>68</v>
      </c>
      <c r="H29" s="8" t="s">
        <v>69</v>
      </c>
      <c r="I29" s="8">
        <v>9433.1118000000006</v>
      </c>
      <c r="J29" s="9">
        <f t="shared" si="0"/>
        <v>0.94331118000000003</v>
      </c>
    </row>
    <row r="37" spans="2:10" ht="15.75" thickBot="1" x14ac:dyDescent="0.3"/>
    <row r="38" spans="2:10" x14ac:dyDescent="0.25">
      <c r="B38" s="79" t="s">
        <v>1</v>
      </c>
      <c r="C38" s="80"/>
      <c r="D38" s="80"/>
      <c r="E38" s="81"/>
      <c r="G38" s="79" t="s">
        <v>70</v>
      </c>
      <c r="H38" s="80"/>
      <c r="I38" s="80"/>
      <c r="J38" s="81"/>
    </row>
    <row r="39" spans="2:10" x14ac:dyDescent="0.25">
      <c r="B39" s="74" t="s">
        <v>14</v>
      </c>
      <c r="C39" s="75"/>
      <c r="D39" s="75"/>
      <c r="E39" s="5" t="s">
        <v>166</v>
      </c>
      <c r="G39" s="74" t="s">
        <v>38</v>
      </c>
      <c r="H39" s="75"/>
      <c r="I39" s="75"/>
      <c r="J39" s="5">
        <v>450000</v>
      </c>
    </row>
    <row r="40" spans="2:10" x14ac:dyDescent="0.25">
      <c r="B40" s="74" t="s">
        <v>15</v>
      </c>
      <c r="C40" s="75"/>
      <c r="D40" s="75"/>
      <c r="E40" s="5" t="s">
        <v>165</v>
      </c>
      <c r="G40" s="74" t="s">
        <v>15</v>
      </c>
      <c r="H40" s="75"/>
      <c r="I40" s="75"/>
      <c r="J40" s="5">
        <v>600000</v>
      </c>
    </row>
    <row r="41" spans="2:10" x14ac:dyDescent="0.25">
      <c r="B41" s="20"/>
      <c r="C41" s="21"/>
      <c r="D41" s="21"/>
      <c r="E41" s="12"/>
      <c r="G41" s="74" t="s">
        <v>71</v>
      </c>
      <c r="H41" s="75"/>
      <c r="I41" s="75"/>
      <c r="J41" s="5" t="s">
        <v>86</v>
      </c>
    </row>
    <row r="42" spans="2:10" x14ac:dyDescent="0.25">
      <c r="B42" s="76" t="s">
        <v>7</v>
      </c>
      <c r="C42" s="77"/>
      <c r="D42" s="77"/>
      <c r="E42" s="78"/>
      <c r="G42" s="74" t="s">
        <v>19</v>
      </c>
      <c r="H42" s="75"/>
      <c r="I42" s="75"/>
      <c r="J42" s="5" t="s">
        <v>21</v>
      </c>
    </row>
    <row r="43" spans="2:10" x14ac:dyDescent="0.25">
      <c r="B43" s="6" t="s">
        <v>9</v>
      </c>
      <c r="C43" t="s">
        <v>10</v>
      </c>
      <c r="D43" t="s">
        <v>11</v>
      </c>
      <c r="E43" s="5" t="s">
        <v>12</v>
      </c>
      <c r="G43" s="10" t="s">
        <v>17</v>
      </c>
      <c r="H43" s="11" t="s">
        <v>12</v>
      </c>
      <c r="I43" s="11" t="s">
        <v>18</v>
      </c>
      <c r="J43" s="12" t="s">
        <v>20</v>
      </c>
    </row>
    <row r="44" spans="2:10" x14ac:dyDescent="0.25">
      <c r="B44" s="74" t="s">
        <v>129</v>
      </c>
      <c r="C44" t="s">
        <v>130</v>
      </c>
      <c r="D44">
        <v>444000</v>
      </c>
      <c r="E44" s="5" t="s">
        <v>23</v>
      </c>
      <c r="G44" s="6" t="s">
        <v>39</v>
      </c>
      <c r="H44" t="s">
        <v>40</v>
      </c>
      <c r="I44" s="13">
        <v>140122810</v>
      </c>
      <c r="J44" s="5">
        <f t="shared" ref="J44:J61" si="1">I44/$J$39</f>
        <v>311.3840222222222</v>
      </c>
    </row>
    <row r="45" spans="2:10" x14ac:dyDescent="0.25">
      <c r="B45" s="74"/>
      <c r="C45" t="s">
        <v>82</v>
      </c>
      <c r="D45">
        <v>75100</v>
      </c>
      <c r="E45" s="5" t="s">
        <v>23</v>
      </c>
      <c r="G45" s="6" t="s">
        <v>41</v>
      </c>
      <c r="H45" t="s">
        <v>42</v>
      </c>
      <c r="I45">
        <v>14.898859</v>
      </c>
      <c r="J45" s="5">
        <f t="shared" si="1"/>
        <v>3.3108575555555556E-5</v>
      </c>
    </row>
    <row r="46" spans="2:10" x14ac:dyDescent="0.25">
      <c r="B46" s="74"/>
      <c r="C46" t="s">
        <v>131</v>
      </c>
      <c r="D46">
        <v>965000</v>
      </c>
      <c r="E46" s="5" t="s">
        <v>69</v>
      </c>
      <c r="G46" s="6" t="s">
        <v>43</v>
      </c>
      <c r="H46" t="s">
        <v>44</v>
      </c>
      <c r="I46">
        <v>6601787.2999999998</v>
      </c>
      <c r="J46" s="5">
        <f t="shared" si="1"/>
        <v>14.670638444444444</v>
      </c>
    </row>
    <row r="47" spans="2:10" x14ac:dyDescent="0.25">
      <c r="B47" s="74"/>
      <c r="C47" t="s">
        <v>132</v>
      </c>
      <c r="D47">
        <v>5691635.5</v>
      </c>
      <c r="E47" s="5" t="s">
        <v>23</v>
      </c>
      <c r="G47" s="6" t="s">
        <v>45</v>
      </c>
      <c r="H47" t="s">
        <v>46</v>
      </c>
      <c r="I47">
        <v>303814.81</v>
      </c>
      <c r="J47" s="5">
        <f t="shared" si="1"/>
        <v>0.67514402222222225</v>
      </c>
    </row>
    <row r="48" spans="2:10" x14ac:dyDescent="0.25">
      <c r="B48" s="74"/>
      <c r="C48" t="s">
        <v>133</v>
      </c>
      <c r="D48">
        <v>7650000</v>
      </c>
      <c r="E48" s="5" t="s">
        <v>27</v>
      </c>
      <c r="G48" s="6" t="s">
        <v>47</v>
      </c>
      <c r="H48" t="s">
        <v>48</v>
      </c>
      <c r="I48">
        <v>119791.02</v>
      </c>
      <c r="J48" s="5">
        <f t="shared" si="1"/>
        <v>0.26620226666666669</v>
      </c>
    </row>
    <row r="49" spans="2:10" x14ac:dyDescent="0.25">
      <c r="B49" s="74" t="s">
        <v>136</v>
      </c>
      <c r="C49" t="s">
        <v>80</v>
      </c>
      <c r="D49">
        <v>5770000</v>
      </c>
      <c r="E49" s="5" t="s">
        <v>23</v>
      </c>
      <c r="G49" s="6" t="s">
        <v>49</v>
      </c>
      <c r="H49" t="s">
        <v>46</v>
      </c>
      <c r="I49">
        <v>313416.40000000002</v>
      </c>
      <c r="J49" s="5">
        <f t="shared" si="1"/>
        <v>0.69648088888888893</v>
      </c>
    </row>
    <row r="50" spans="2:10" x14ac:dyDescent="0.25">
      <c r="B50" s="74"/>
      <c r="C50" t="s">
        <v>134</v>
      </c>
      <c r="D50">
        <v>5770000</v>
      </c>
      <c r="E50" s="5" t="s">
        <v>23</v>
      </c>
      <c r="G50" s="6" t="s">
        <v>50</v>
      </c>
      <c r="H50" t="s">
        <v>51</v>
      </c>
      <c r="I50">
        <v>248765.09</v>
      </c>
      <c r="J50" s="5">
        <f t="shared" si="1"/>
        <v>0.55281131111111115</v>
      </c>
    </row>
    <row r="51" spans="2:10" x14ac:dyDescent="0.25">
      <c r="B51" s="74"/>
      <c r="C51" t="s">
        <v>135</v>
      </c>
      <c r="D51">
        <v>15000000</v>
      </c>
      <c r="E51" s="5" t="s">
        <v>23</v>
      </c>
      <c r="G51" s="6" t="s">
        <v>52</v>
      </c>
      <c r="H51" t="s">
        <v>53</v>
      </c>
      <c r="I51">
        <v>36634.409</v>
      </c>
      <c r="J51" s="5">
        <f t="shared" si="1"/>
        <v>8.1409797777777779E-2</v>
      </c>
    </row>
    <row r="52" spans="2:10" ht="15.75" thickBot="1" x14ac:dyDescent="0.3">
      <c r="B52" s="89"/>
      <c r="C52" s="8" t="s">
        <v>132</v>
      </c>
      <c r="D52" s="8">
        <v>5221850</v>
      </c>
      <c r="E52" s="9" t="s">
        <v>23</v>
      </c>
      <c r="G52" s="6" t="s">
        <v>54</v>
      </c>
      <c r="H52" t="s">
        <v>55</v>
      </c>
      <c r="I52">
        <v>2907.2262999999998</v>
      </c>
      <c r="J52" s="5">
        <f t="shared" si="1"/>
        <v>6.4605028888888886E-3</v>
      </c>
    </row>
    <row r="53" spans="2:10" x14ac:dyDescent="0.25">
      <c r="G53" s="6" t="s">
        <v>56</v>
      </c>
      <c r="H53" t="s">
        <v>57</v>
      </c>
      <c r="I53" s="13">
        <v>459948610</v>
      </c>
      <c r="J53" s="5">
        <f t="shared" si="1"/>
        <v>1022.1080222222222</v>
      </c>
    </row>
    <row r="54" spans="2:10" x14ac:dyDescent="0.25">
      <c r="G54" s="6" t="s">
        <v>58</v>
      </c>
      <c r="H54" t="s">
        <v>57</v>
      </c>
      <c r="I54">
        <v>10597030</v>
      </c>
      <c r="J54" s="5">
        <f t="shared" si="1"/>
        <v>23.548955555555555</v>
      </c>
    </row>
    <row r="55" spans="2:10" x14ac:dyDescent="0.25">
      <c r="G55" s="6" t="s">
        <v>59</v>
      </c>
      <c r="H55" t="s">
        <v>57</v>
      </c>
      <c r="I55">
        <v>14739609</v>
      </c>
      <c r="J55" s="5">
        <f t="shared" si="1"/>
        <v>32.754686666666665</v>
      </c>
    </row>
    <row r="56" spans="2:10" x14ac:dyDescent="0.25">
      <c r="G56" s="6" t="s">
        <v>60</v>
      </c>
      <c r="H56" t="s">
        <v>57</v>
      </c>
      <c r="I56" s="13">
        <v>341384930</v>
      </c>
      <c r="J56" s="5">
        <f t="shared" si="1"/>
        <v>758.63317777777775</v>
      </c>
    </row>
    <row r="57" spans="2:10" x14ac:dyDescent="0.25">
      <c r="B57" s="18"/>
      <c r="C57" s="18"/>
      <c r="D57" s="18"/>
      <c r="E57" s="18"/>
      <c r="G57" s="6" t="s">
        <v>61</v>
      </c>
      <c r="H57" t="s">
        <v>57</v>
      </c>
      <c r="I57" s="13">
        <v>179920370</v>
      </c>
      <c r="J57" s="5">
        <f t="shared" si="1"/>
        <v>399.82304444444446</v>
      </c>
    </row>
    <row r="58" spans="2:10" x14ac:dyDescent="0.25">
      <c r="G58" s="6" t="s">
        <v>62</v>
      </c>
      <c r="H58" t="s">
        <v>63</v>
      </c>
      <c r="I58">
        <v>5464049.0999999996</v>
      </c>
      <c r="J58" s="5">
        <f t="shared" si="1"/>
        <v>12.142331333333333</v>
      </c>
    </row>
    <row r="59" spans="2:10" x14ac:dyDescent="0.25">
      <c r="G59" s="6" t="s">
        <v>64</v>
      </c>
      <c r="H59" t="s">
        <v>65</v>
      </c>
      <c r="I59">
        <v>1387370.2</v>
      </c>
      <c r="J59" s="5">
        <f t="shared" si="1"/>
        <v>3.0830448888888888</v>
      </c>
    </row>
    <row r="60" spans="2:10" x14ac:dyDescent="0.25">
      <c r="G60" s="6" t="s">
        <v>66</v>
      </c>
      <c r="H60" t="s">
        <v>67</v>
      </c>
      <c r="I60">
        <v>17565158</v>
      </c>
      <c r="J60" s="5">
        <f t="shared" si="1"/>
        <v>39.033684444444447</v>
      </c>
    </row>
    <row r="61" spans="2:10" ht="15.75" thickBot="1" x14ac:dyDescent="0.3">
      <c r="G61" s="7" t="s">
        <v>68</v>
      </c>
      <c r="H61" s="8" t="s">
        <v>69</v>
      </c>
      <c r="I61" s="8">
        <v>3501228.4</v>
      </c>
      <c r="J61" s="9">
        <f t="shared" si="1"/>
        <v>7.7805075555555554</v>
      </c>
    </row>
    <row r="90" spans="11:11" x14ac:dyDescent="0.25">
      <c r="K90" s="13"/>
    </row>
    <row r="99" spans="11:11" x14ac:dyDescent="0.25">
      <c r="K99" s="13"/>
    </row>
    <row r="102" spans="11:11" x14ac:dyDescent="0.25">
      <c r="K102" s="13"/>
    </row>
    <row r="103" spans="11:11" x14ac:dyDescent="0.25">
      <c r="K103" s="13"/>
    </row>
  </sheetData>
  <mergeCells count="22">
    <mergeCell ref="B44:B48"/>
    <mergeCell ref="B49:B52"/>
    <mergeCell ref="B23:B25"/>
    <mergeCell ref="B12:B22"/>
    <mergeCell ref="B10:E10"/>
    <mergeCell ref="B38:E38"/>
    <mergeCell ref="B39:D39"/>
    <mergeCell ref="B40:D40"/>
    <mergeCell ref="B42:E42"/>
    <mergeCell ref="G42:I42"/>
    <mergeCell ref="B6:E6"/>
    <mergeCell ref="G6:J6"/>
    <mergeCell ref="B7:D7"/>
    <mergeCell ref="G7:I7"/>
    <mergeCell ref="G9:I9"/>
    <mergeCell ref="B8:D8"/>
    <mergeCell ref="G8:I8"/>
    <mergeCell ref="G10:I10"/>
    <mergeCell ref="G38:J38"/>
    <mergeCell ref="G39:I39"/>
    <mergeCell ref="G40:I40"/>
    <mergeCell ref="G41:I4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1A63-5823-4160-AE10-26EAD4CCF297}">
  <dimension ref="B2:J75"/>
  <sheetViews>
    <sheetView topLeftCell="A60" zoomScale="85" zoomScaleNormal="85" workbookViewId="0">
      <selection activeCell="E27" sqref="E27"/>
    </sheetView>
  </sheetViews>
  <sheetFormatPr defaultRowHeight="15" x14ac:dyDescent="0.25"/>
  <cols>
    <col min="2" max="2" width="11.85546875" customWidth="1"/>
    <col min="3" max="3" width="49.5703125" customWidth="1"/>
    <col min="7" max="7" width="36.85546875" customWidth="1"/>
    <col min="8" max="8" width="12.42578125" customWidth="1"/>
    <col min="9" max="9" width="12.28515625" customWidth="1"/>
    <col min="10" max="10" width="37.5703125" customWidth="1"/>
  </cols>
  <sheetData>
    <row r="2" spans="2:10" x14ac:dyDescent="0.25">
      <c r="B2" t="s">
        <v>2</v>
      </c>
      <c r="D2" s="1" t="s">
        <v>475</v>
      </c>
    </row>
    <row r="4" spans="2:10" ht="15.75" thickBot="1" x14ac:dyDescent="0.3"/>
    <row r="5" spans="2:10" x14ac:dyDescent="0.25">
      <c r="B5" s="86" t="s">
        <v>0</v>
      </c>
      <c r="C5" s="87"/>
      <c r="D5" s="87"/>
      <c r="E5" s="88"/>
      <c r="G5" s="86" t="s">
        <v>16</v>
      </c>
      <c r="H5" s="87"/>
      <c r="I5" s="87"/>
      <c r="J5" s="88"/>
    </row>
    <row r="6" spans="2:10" x14ac:dyDescent="0.25">
      <c r="B6" s="74" t="s">
        <v>6</v>
      </c>
      <c r="C6" s="75"/>
      <c r="D6" s="75"/>
      <c r="E6" s="5" t="s">
        <v>501</v>
      </c>
      <c r="G6" s="74" t="s">
        <v>36</v>
      </c>
      <c r="H6" s="75"/>
      <c r="I6" s="75"/>
      <c r="J6" s="5">
        <v>20000</v>
      </c>
    </row>
    <row r="7" spans="2:10" x14ac:dyDescent="0.25">
      <c r="B7" s="74" t="s">
        <v>5</v>
      </c>
      <c r="C7" s="75"/>
      <c r="D7" s="75"/>
      <c r="E7" s="5" t="s">
        <v>8</v>
      </c>
      <c r="G7" s="74" t="s">
        <v>5</v>
      </c>
      <c r="H7" s="75"/>
      <c r="I7" s="75"/>
      <c r="J7" s="5" t="s">
        <v>8</v>
      </c>
    </row>
    <row r="8" spans="2:10" x14ac:dyDescent="0.25">
      <c r="B8" s="4"/>
      <c r="C8" s="3"/>
      <c r="D8" s="3"/>
      <c r="E8" s="5"/>
      <c r="G8" s="74" t="s">
        <v>71</v>
      </c>
      <c r="H8" s="75"/>
      <c r="I8" s="75"/>
      <c r="J8" s="5" t="s">
        <v>86</v>
      </c>
    </row>
    <row r="9" spans="2:10" x14ac:dyDescent="0.25">
      <c r="B9" s="90" t="s">
        <v>7</v>
      </c>
      <c r="C9" s="91"/>
      <c r="D9" s="91"/>
      <c r="E9" s="92"/>
      <c r="G9" s="74" t="s">
        <v>19</v>
      </c>
      <c r="H9" s="75"/>
      <c r="I9" s="75"/>
      <c r="J9" s="5" t="s">
        <v>21</v>
      </c>
    </row>
    <row r="10" spans="2:10" x14ac:dyDescent="0.25">
      <c r="B10" s="6" t="s">
        <v>9</v>
      </c>
      <c r="C10" t="s">
        <v>10</v>
      </c>
      <c r="D10" t="s">
        <v>11</v>
      </c>
      <c r="E10" s="5" t="s">
        <v>12</v>
      </c>
      <c r="G10" s="10" t="s">
        <v>162</v>
      </c>
      <c r="H10" s="11" t="s">
        <v>12</v>
      </c>
      <c r="I10" s="11" t="s">
        <v>18</v>
      </c>
      <c r="J10" s="12" t="s">
        <v>37</v>
      </c>
    </row>
    <row r="11" spans="2:10" x14ac:dyDescent="0.25">
      <c r="B11" s="95" t="s">
        <v>34</v>
      </c>
      <c r="C11" t="s">
        <v>83</v>
      </c>
      <c r="D11">
        <v>10.5</v>
      </c>
      <c r="E11" s="5" t="s">
        <v>494</v>
      </c>
      <c r="G11" s="6" t="s">
        <v>39</v>
      </c>
      <c r="H11" t="s">
        <v>40</v>
      </c>
      <c r="I11">
        <v>1700797.1</v>
      </c>
      <c r="J11" s="5">
        <f>I11/$J$6</f>
        <v>85.039855000000003</v>
      </c>
    </row>
    <row r="12" spans="2:10" x14ac:dyDescent="0.25">
      <c r="B12" s="95"/>
      <c r="C12" t="s">
        <v>79</v>
      </c>
      <c r="D12">
        <v>4.5</v>
      </c>
      <c r="E12" s="5" t="s">
        <v>494</v>
      </c>
      <c r="G12" s="6" t="s">
        <v>41</v>
      </c>
      <c r="H12" t="s">
        <v>42</v>
      </c>
      <c r="I12">
        <v>0.78031901999999997</v>
      </c>
      <c r="J12" s="5">
        <f t="shared" ref="J12:J28" si="0">I12/$J$6</f>
        <v>3.9015951E-5</v>
      </c>
    </row>
    <row r="13" spans="2:10" x14ac:dyDescent="0.25">
      <c r="B13" s="95"/>
      <c r="C13" t="s">
        <v>77</v>
      </c>
      <c r="D13">
        <v>19</v>
      </c>
      <c r="E13" s="5" t="s">
        <v>483</v>
      </c>
      <c r="G13" s="6" t="s">
        <v>43</v>
      </c>
      <c r="H13" t="s">
        <v>44</v>
      </c>
      <c r="I13">
        <v>41915.485999999997</v>
      </c>
      <c r="J13" s="5">
        <f t="shared" si="0"/>
        <v>2.0957743</v>
      </c>
    </row>
    <row r="14" spans="2:10" x14ac:dyDescent="0.25">
      <c r="B14" s="95" t="s">
        <v>476</v>
      </c>
      <c r="C14" t="s">
        <v>80</v>
      </c>
      <c r="D14">
        <v>163.80000000000001</v>
      </c>
      <c r="E14" s="5" t="s">
        <v>494</v>
      </c>
      <c r="G14" s="6" t="s">
        <v>45</v>
      </c>
      <c r="H14" t="s">
        <v>46</v>
      </c>
      <c r="I14">
        <v>6157.7737999999999</v>
      </c>
      <c r="J14" s="5">
        <f t="shared" si="0"/>
        <v>0.30788869000000002</v>
      </c>
    </row>
    <row r="15" spans="2:10" x14ac:dyDescent="0.25">
      <c r="B15" s="95"/>
      <c r="C15" t="s">
        <v>477</v>
      </c>
      <c r="D15">
        <v>49.14</v>
      </c>
      <c r="E15" s="5" t="s">
        <v>494</v>
      </c>
      <c r="G15" s="6" t="s">
        <v>47</v>
      </c>
      <c r="H15" t="s">
        <v>48</v>
      </c>
      <c r="I15">
        <v>8504.6273999999994</v>
      </c>
      <c r="J15" s="5">
        <f t="shared" si="0"/>
        <v>0.42523137</v>
      </c>
    </row>
    <row r="16" spans="2:10" x14ac:dyDescent="0.25">
      <c r="B16" s="95"/>
      <c r="C16" t="s">
        <v>79</v>
      </c>
      <c r="D16">
        <v>32.76</v>
      </c>
      <c r="E16" s="5" t="s">
        <v>494</v>
      </c>
      <c r="G16" s="6" t="s">
        <v>49</v>
      </c>
      <c r="H16" t="s">
        <v>46</v>
      </c>
      <c r="I16">
        <v>6287.8616000000002</v>
      </c>
      <c r="J16" s="5">
        <f t="shared" si="0"/>
        <v>0.31439307999999999</v>
      </c>
    </row>
    <row r="17" spans="2:10" x14ac:dyDescent="0.25">
      <c r="B17" s="95"/>
      <c r="C17" t="s">
        <v>478</v>
      </c>
      <c r="D17">
        <v>27.3</v>
      </c>
      <c r="E17" s="5" t="s">
        <v>494</v>
      </c>
      <c r="G17" s="6" t="s">
        <v>50</v>
      </c>
      <c r="H17" t="s">
        <v>51</v>
      </c>
      <c r="I17">
        <v>20989.920999999998</v>
      </c>
      <c r="J17" s="5">
        <f t="shared" si="0"/>
        <v>1.0494960499999999</v>
      </c>
    </row>
    <row r="18" spans="2:10" x14ac:dyDescent="0.25">
      <c r="B18" s="95"/>
      <c r="C18" t="s">
        <v>77</v>
      </c>
      <c r="D18">
        <v>25</v>
      </c>
      <c r="E18" s="5" t="s">
        <v>483</v>
      </c>
      <c r="G18" s="6" t="s">
        <v>52</v>
      </c>
      <c r="H18" t="s">
        <v>53</v>
      </c>
      <c r="I18">
        <v>3173.4504000000002</v>
      </c>
      <c r="J18" s="5">
        <f t="shared" si="0"/>
        <v>0.15867252000000001</v>
      </c>
    </row>
    <row r="19" spans="2:10" x14ac:dyDescent="0.25">
      <c r="B19" s="95"/>
      <c r="C19" t="s">
        <v>479</v>
      </c>
      <c r="D19">
        <v>22</v>
      </c>
      <c r="E19" s="5" t="s">
        <v>480</v>
      </c>
      <c r="G19" s="6" t="s">
        <v>54</v>
      </c>
      <c r="H19" t="s">
        <v>55</v>
      </c>
      <c r="I19">
        <v>140.33903000000001</v>
      </c>
      <c r="J19" s="5">
        <f t="shared" ref="J19:J24" si="1">I19/$J$6</f>
        <v>7.0169515000000002E-3</v>
      </c>
    </row>
    <row r="20" spans="2:10" x14ac:dyDescent="0.25">
      <c r="B20" s="95"/>
      <c r="C20" t="s">
        <v>481</v>
      </c>
      <c r="D20">
        <v>9</v>
      </c>
      <c r="E20" s="5" t="s">
        <v>480</v>
      </c>
      <c r="G20" s="6" t="s">
        <v>56</v>
      </c>
      <c r="H20" t="s">
        <v>57</v>
      </c>
      <c r="I20" s="13">
        <v>116471630</v>
      </c>
      <c r="J20" s="5">
        <f t="shared" si="1"/>
        <v>5823.5815000000002</v>
      </c>
    </row>
    <row r="21" spans="2:10" x14ac:dyDescent="0.25">
      <c r="B21" s="95"/>
      <c r="C21" t="s">
        <v>482</v>
      </c>
      <c r="D21">
        <v>0.54</v>
      </c>
      <c r="E21" s="5" t="s">
        <v>480</v>
      </c>
      <c r="G21" s="6" t="s">
        <v>58</v>
      </c>
      <c r="H21" t="s">
        <v>57</v>
      </c>
      <c r="I21">
        <v>2152102.2000000002</v>
      </c>
      <c r="J21" s="5">
        <f t="shared" si="1"/>
        <v>107.60511000000001</v>
      </c>
    </row>
    <row r="22" spans="2:10" x14ac:dyDescent="0.25">
      <c r="B22" s="46" t="s">
        <v>29</v>
      </c>
      <c r="C22" s="2" t="s">
        <v>76</v>
      </c>
      <c r="D22" s="2">
        <v>68.5</v>
      </c>
      <c r="E22" s="14" t="s">
        <v>480</v>
      </c>
      <c r="G22" s="6" t="s">
        <v>59</v>
      </c>
      <c r="H22" t="s">
        <v>57</v>
      </c>
      <c r="I22">
        <v>2731574.3</v>
      </c>
      <c r="J22" s="5">
        <f t="shared" si="1"/>
        <v>136.57871499999999</v>
      </c>
    </row>
    <row r="23" spans="2:10" x14ac:dyDescent="0.25">
      <c r="B23" s="6"/>
      <c r="E23" s="5"/>
      <c r="G23" s="6" t="s">
        <v>60</v>
      </c>
      <c r="H23" t="s">
        <v>57</v>
      </c>
      <c r="I23">
        <v>2878162.2</v>
      </c>
      <c r="J23" s="5">
        <f t="shared" si="1"/>
        <v>143.90811000000002</v>
      </c>
    </row>
    <row r="24" spans="2:10" x14ac:dyDescent="0.25">
      <c r="B24" s="76" t="s">
        <v>13</v>
      </c>
      <c r="C24" s="77"/>
      <c r="D24" s="77"/>
      <c r="E24" s="78"/>
      <c r="G24" s="6" t="s">
        <v>61</v>
      </c>
      <c r="H24" t="s">
        <v>57</v>
      </c>
      <c r="I24">
        <v>28682617</v>
      </c>
      <c r="J24" s="5">
        <f t="shared" si="1"/>
        <v>1434.13085</v>
      </c>
    </row>
    <row r="25" spans="2:10" ht="15.75" thickBot="1" x14ac:dyDescent="0.3">
      <c r="B25" s="7"/>
      <c r="C25" s="8"/>
      <c r="D25" s="8"/>
      <c r="E25" s="9"/>
      <c r="G25" s="6" t="s">
        <v>62</v>
      </c>
      <c r="H25" t="s">
        <v>63</v>
      </c>
      <c r="I25">
        <v>61504.49</v>
      </c>
      <c r="J25" s="5">
        <f t="shared" si="0"/>
        <v>3.0752245</v>
      </c>
    </row>
    <row r="26" spans="2:10" x14ac:dyDescent="0.25">
      <c r="G26" s="6" t="s">
        <v>64</v>
      </c>
      <c r="H26" t="s">
        <v>65</v>
      </c>
      <c r="I26">
        <v>67593.266000000003</v>
      </c>
      <c r="J26" s="5">
        <f t="shared" si="0"/>
        <v>3.3796633000000003</v>
      </c>
    </row>
    <row r="27" spans="2:10" x14ac:dyDescent="0.25">
      <c r="G27" s="6" t="s">
        <v>66</v>
      </c>
      <c r="H27" t="s">
        <v>67</v>
      </c>
      <c r="I27">
        <v>404681.5</v>
      </c>
      <c r="J27" s="5">
        <f t="shared" si="0"/>
        <v>20.234075000000001</v>
      </c>
    </row>
    <row r="28" spans="2:10" ht="15.75" thickBot="1" x14ac:dyDescent="0.3">
      <c r="G28" s="7" t="s">
        <v>68</v>
      </c>
      <c r="H28" s="8" t="s">
        <v>69</v>
      </c>
      <c r="I28" s="8">
        <v>18968.921999999999</v>
      </c>
      <c r="J28" s="9">
        <f t="shared" si="0"/>
        <v>0.94844609999999996</v>
      </c>
    </row>
    <row r="30" spans="2:10" ht="15.75" thickBot="1" x14ac:dyDescent="0.3"/>
    <row r="31" spans="2:10" x14ac:dyDescent="0.25">
      <c r="B31" s="79" t="s">
        <v>1</v>
      </c>
      <c r="C31" s="80"/>
      <c r="D31" s="80"/>
      <c r="E31" s="81"/>
      <c r="G31" s="79" t="s">
        <v>70</v>
      </c>
      <c r="H31" s="80"/>
      <c r="I31" s="80"/>
      <c r="J31" s="81"/>
    </row>
    <row r="32" spans="2:10" x14ac:dyDescent="0.25">
      <c r="B32" s="74" t="s">
        <v>14</v>
      </c>
      <c r="C32" s="75"/>
      <c r="D32" s="75"/>
      <c r="E32" s="5" t="s">
        <v>502</v>
      </c>
      <c r="G32" s="74" t="s">
        <v>38</v>
      </c>
      <c r="H32" s="75"/>
      <c r="I32" s="75"/>
      <c r="J32" s="5">
        <v>5000</v>
      </c>
    </row>
    <row r="33" spans="2:10" x14ac:dyDescent="0.25">
      <c r="B33" s="74" t="s">
        <v>15</v>
      </c>
      <c r="C33" s="75"/>
      <c r="D33" s="75"/>
      <c r="E33" s="5" t="s">
        <v>8</v>
      </c>
      <c r="G33" s="74" t="s">
        <v>15</v>
      </c>
      <c r="H33" s="75"/>
      <c r="I33" s="75"/>
      <c r="J33" s="5" t="s">
        <v>8</v>
      </c>
    </row>
    <row r="34" spans="2:10" x14ac:dyDescent="0.25">
      <c r="B34" s="4"/>
      <c r="C34" s="3"/>
      <c r="D34" s="3"/>
      <c r="E34" s="5"/>
      <c r="G34" s="74" t="s">
        <v>71</v>
      </c>
      <c r="H34" s="75"/>
      <c r="I34" s="75"/>
      <c r="J34" s="5" t="s">
        <v>86</v>
      </c>
    </row>
    <row r="35" spans="2:10" x14ac:dyDescent="0.25">
      <c r="B35" s="90" t="s">
        <v>7</v>
      </c>
      <c r="C35" s="91"/>
      <c r="D35" s="91"/>
      <c r="E35" s="92"/>
      <c r="G35" s="74" t="s">
        <v>19</v>
      </c>
      <c r="H35" s="75"/>
      <c r="I35" s="75"/>
      <c r="J35" s="5" t="s">
        <v>21</v>
      </c>
    </row>
    <row r="36" spans="2:10" x14ac:dyDescent="0.25">
      <c r="B36" s="6" t="s">
        <v>9</v>
      </c>
      <c r="C36" t="s">
        <v>10</v>
      </c>
      <c r="D36" t="s">
        <v>11</v>
      </c>
      <c r="E36" s="5" t="s">
        <v>12</v>
      </c>
      <c r="G36" s="10" t="s">
        <v>162</v>
      </c>
      <c r="H36" s="11" t="s">
        <v>12</v>
      </c>
      <c r="I36" s="11" t="s">
        <v>18</v>
      </c>
      <c r="J36" s="12" t="s">
        <v>20</v>
      </c>
    </row>
    <row r="37" spans="2:10" x14ac:dyDescent="0.25">
      <c r="B37" s="95" t="s">
        <v>484</v>
      </c>
      <c r="C37" t="s">
        <v>80</v>
      </c>
      <c r="D37">
        <v>999.88499999999999</v>
      </c>
      <c r="E37" s="5" t="s">
        <v>494</v>
      </c>
      <c r="G37" s="6" t="s">
        <v>39</v>
      </c>
      <c r="H37" t="s">
        <v>40</v>
      </c>
      <c r="I37">
        <v>12626891</v>
      </c>
      <c r="J37" s="5">
        <f>I37/$J$32</f>
        <v>2525.3782000000001</v>
      </c>
    </row>
    <row r="38" spans="2:10" x14ac:dyDescent="0.25">
      <c r="B38" s="95"/>
      <c r="C38" t="s">
        <v>485</v>
      </c>
      <c r="D38">
        <v>19.1601</v>
      </c>
      <c r="E38" s="5" t="s">
        <v>494</v>
      </c>
      <c r="G38" s="6" t="s">
        <v>41</v>
      </c>
      <c r="H38" t="s">
        <v>42</v>
      </c>
      <c r="I38">
        <v>3.8397494000000001</v>
      </c>
      <c r="J38" s="5">
        <f>I38/$J$32</f>
        <v>7.6794988000000004E-4</v>
      </c>
    </row>
    <row r="39" spans="2:10" x14ac:dyDescent="0.25">
      <c r="B39" s="95"/>
      <c r="C39" t="s">
        <v>486</v>
      </c>
      <c r="D39">
        <v>8.3759999999999994</v>
      </c>
      <c r="E39" s="5" t="s">
        <v>494</v>
      </c>
      <c r="G39" s="6" t="s">
        <v>43</v>
      </c>
      <c r="H39" t="s">
        <v>44</v>
      </c>
      <c r="I39">
        <v>1151219.1000000001</v>
      </c>
      <c r="J39" s="5">
        <f>I39/$J$32</f>
        <v>230.24382000000003</v>
      </c>
    </row>
    <row r="40" spans="2:10" x14ac:dyDescent="0.25">
      <c r="B40" s="95"/>
      <c r="C40" t="s">
        <v>487</v>
      </c>
      <c r="D40">
        <v>7.5179999999999998</v>
      </c>
      <c r="E40" s="5" t="s">
        <v>494</v>
      </c>
      <c r="G40" s="6" t="s">
        <v>45</v>
      </c>
      <c r="H40" t="s">
        <v>46</v>
      </c>
      <c r="I40">
        <v>30911.01</v>
      </c>
      <c r="J40" s="5">
        <f>I40/$J$32</f>
        <v>6.1822019999999993</v>
      </c>
    </row>
    <row r="41" spans="2:10" x14ac:dyDescent="0.25">
      <c r="B41" s="95"/>
      <c r="C41" t="s">
        <v>488</v>
      </c>
      <c r="D41">
        <v>4.1879999999999997</v>
      </c>
      <c r="E41" s="5" t="s">
        <v>494</v>
      </c>
      <c r="G41" s="6" t="s">
        <v>47</v>
      </c>
      <c r="H41" t="s">
        <v>48</v>
      </c>
      <c r="I41">
        <v>31610.448</v>
      </c>
      <c r="J41" s="5">
        <f t="shared" ref="J41:J54" si="2">I41/$J$32</f>
        <v>6.3220896</v>
      </c>
    </row>
    <row r="42" spans="2:10" x14ac:dyDescent="0.25">
      <c r="B42" s="95"/>
      <c r="C42" t="s">
        <v>489</v>
      </c>
      <c r="D42">
        <v>2.6175000000000002</v>
      </c>
      <c r="E42" s="5" t="s">
        <v>494</v>
      </c>
      <c r="G42" s="6" t="s">
        <v>49</v>
      </c>
      <c r="H42" t="s">
        <v>46</v>
      </c>
      <c r="I42">
        <v>31630.927</v>
      </c>
      <c r="J42" s="5">
        <f t="shared" si="2"/>
        <v>6.3261854</v>
      </c>
    </row>
    <row r="43" spans="2:10" x14ac:dyDescent="0.25">
      <c r="B43" s="95"/>
      <c r="C43" t="s">
        <v>490</v>
      </c>
      <c r="D43">
        <v>2.0939999999999999</v>
      </c>
      <c r="E43" s="5" t="s">
        <v>494</v>
      </c>
      <c r="G43" s="6" t="s">
        <v>50</v>
      </c>
      <c r="H43" t="s">
        <v>51</v>
      </c>
      <c r="I43">
        <v>61258.063000000002</v>
      </c>
      <c r="J43" s="5">
        <f t="shared" si="2"/>
        <v>12.2516126</v>
      </c>
    </row>
    <row r="44" spans="2:10" x14ac:dyDescent="0.25">
      <c r="B44" s="95"/>
      <c r="C44" t="s">
        <v>77</v>
      </c>
      <c r="D44">
        <v>11232</v>
      </c>
      <c r="E44" s="5" t="s">
        <v>483</v>
      </c>
      <c r="G44" s="6" t="s">
        <v>52</v>
      </c>
      <c r="H44" t="s">
        <v>53</v>
      </c>
      <c r="I44">
        <v>8787.9945000000007</v>
      </c>
      <c r="J44" s="5">
        <f t="shared" si="2"/>
        <v>1.7575989000000001</v>
      </c>
    </row>
    <row r="45" spans="2:10" x14ac:dyDescent="0.25">
      <c r="B45" s="95" t="s">
        <v>491</v>
      </c>
      <c r="C45" t="s">
        <v>80</v>
      </c>
      <c r="D45">
        <v>43.93</v>
      </c>
      <c r="E45" s="5" t="s">
        <v>494</v>
      </c>
      <c r="G45" s="6" t="s">
        <v>54</v>
      </c>
      <c r="H45" t="s">
        <v>55</v>
      </c>
      <c r="I45">
        <v>439.48095999999998</v>
      </c>
      <c r="J45" s="5">
        <f t="shared" si="2"/>
        <v>8.7896191999999998E-2</v>
      </c>
    </row>
    <row r="46" spans="2:10" x14ac:dyDescent="0.25">
      <c r="B46" s="95"/>
      <c r="C46" t="s">
        <v>485</v>
      </c>
      <c r="D46">
        <v>0.84179999999999999</v>
      </c>
      <c r="E46" s="5" t="s">
        <v>494</v>
      </c>
      <c r="G46" s="6" t="s">
        <v>56</v>
      </c>
      <c r="H46" t="s">
        <v>57</v>
      </c>
      <c r="I46">
        <v>88742357</v>
      </c>
      <c r="J46" s="5">
        <f t="shared" si="2"/>
        <v>17748.471399999999</v>
      </c>
    </row>
    <row r="47" spans="2:10" x14ac:dyDescent="0.25">
      <c r="B47" s="95"/>
      <c r="C47" t="s">
        <v>486</v>
      </c>
      <c r="D47">
        <v>0.36799999999999999</v>
      </c>
      <c r="E47" s="5" t="s">
        <v>494</v>
      </c>
      <c r="G47" s="6" t="s">
        <v>58</v>
      </c>
      <c r="H47" t="s">
        <v>57</v>
      </c>
      <c r="I47">
        <v>1855966.8</v>
      </c>
      <c r="J47" s="5">
        <f t="shared" si="2"/>
        <v>371.19335999999998</v>
      </c>
    </row>
    <row r="48" spans="2:10" x14ac:dyDescent="0.25">
      <c r="B48" s="95"/>
      <c r="C48" t="s">
        <v>487</v>
      </c>
      <c r="D48">
        <v>0.32200000000000001</v>
      </c>
      <c r="E48" s="5" t="s">
        <v>494</v>
      </c>
      <c r="G48" s="6" t="s">
        <v>59</v>
      </c>
      <c r="H48" t="s">
        <v>57</v>
      </c>
      <c r="I48">
        <v>2479515.5</v>
      </c>
      <c r="J48" s="5">
        <f t="shared" si="2"/>
        <v>495.90309999999999</v>
      </c>
    </row>
    <row r="49" spans="2:10" x14ac:dyDescent="0.25">
      <c r="B49" s="95"/>
      <c r="C49" t="s">
        <v>488</v>
      </c>
      <c r="D49">
        <v>0.184</v>
      </c>
      <c r="E49" s="5" t="s">
        <v>494</v>
      </c>
      <c r="G49" s="6" t="s">
        <v>60</v>
      </c>
      <c r="H49" t="s">
        <v>57</v>
      </c>
      <c r="I49">
        <v>24991087</v>
      </c>
      <c r="J49" s="5">
        <f t="shared" si="2"/>
        <v>4998.2174000000005</v>
      </c>
    </row>
    <row r="50" spans="2:10" x14ac:dyDescent="0.25">
      <c r="B50" s="95"/>
      <c r="C50" t="s">
        <v>489</v>
      </c>
      <c r="D50">
        <v>0.115</v>
      </c>
      <c r="E50" s="5" t="s">
        <v>494</v>
      </c>
      <c r="G50" s="6" t="s">
        <v>61</v>
      </c>
      <c r="H50" t="s">
        <v>57</v>
      </c>
      <c r="I50">
        <v>42123051</v>
      </c>
      <c r="J50" s="5">
        <f t="shared" si="2"/>
        <v>8424.6101999999992</v>
      </c>
    </row>
    <row r="51" spans="2:10" x14ac:dyDescent="0.25">
      <c r="B51" s="95"/>
      <c r="C51" t="s">
        <v>490</v>
      </c>
      <c r="D51">
        <v>9.1999999999999998E-2</v>
      </c>
      <c r="E51" s="5" t="s">
        <v>494</v>
      </c>
      <c r="G51" s="6" t="s">
        <v>62</v>
      </c>
      <c r="H51" t="s">
        <v>63</v>
      </c>
      <c r="I51">
        <v>308556.7</v>
      </c>
      <c r="J51" s="5">
        <f t="shared" si="2"/>
        <v>61.71134</v>
      </c>
    </row>
    <row r="52" spans="2:10" x14ac:dyDescent="0.25">
      <c r="B52" s="95"/>
      <c r="C52" t="s">
        <v>77</v>
      </c>
      <c r="D52">
        <v>346</v>
      </c>
      <c r="E52" s="5" t="s">
        <v>483</v>
      </c>
      <c r="G52" s="6" t="s">
        <v>64</v>
      </c>
      <c r="H52" t="s">
        <v>65</v>
      </c>
      <c r="I52">
        <v>338488.22</v>
      </c>
      <c r="J52" s="5">
        <f t="shared" si="2"/>
        <v>67.697643999999997</v>
      </c>
    </row>
    <row r="53" spans="2:10" x14ac:dyDescent="0.25">
      <c r="B53" s="6" t="s">
        <v>495</v>
      </c>
      <c r="C53" t="s">
        <v>80</v>
      </c>
      <c r="D53">
        <v>636</v>
      </c>
      <c r="E53" s="5" t="s">
        <v>494</v>
      </c>
      <c r="G53" s="6" t="s">
        <v>66</v>
      </c>
      <c r="H53" t="s">
        <v>67</v>
      </c>
      <c r="I53">
        <v>3202599</v>
      </c>
      <c r="J53" s="5">
        <f t="shared" si="2"/>
        <v>640.51980000000003</v>
      </c>
    </row>
    <row r="54" spans="2:10" ht="15.75" thickBot="1" x14ac:dyDescent="0.3">
      <c r="B54" s="95" t="s">
        <v>492</v>
      </c>
      <c r="C54" t="s">
        <v>82</v>
      </c>
      <c r="D54">
        <v>34</v>
      </c>
      <c r="E54" s="5" t="s">
        <v>494</v>
      </c>
      <c r="G54" s="7" t="s">
        <v>68</v>
      </c>
      <c r="H54" s="8" t="s">
        <v>69</v>
      </c>
      <c r="I54" s="8">
        <v>111441.16</v>
      </c>
      <c r="J54" s="9">
        <f t="shared" si="2"/>
        <v>22.288232000000001</v>
      </c>
    </row>
    <row r="55" spans="2:10" x14ac:dyDescent="0.25">
      <c r="B55" s="95"/>
      <c r="C55" t="s">
        <v>77</v>
      </c>
      <c r="D55">
        <v>249</v>
      </c>
      <c r="E55" s="5" t="s">
        <v>483</v>
      </c>
    </row>
    <row r="56" spans="2:10" x14ac:dyDescent="0.25">
      <c r="B56" s="95"/>
      <c r="C56" t="s">
        <v>481</v>
      </c>
      <c r="D56">
        <v>453</v>
      </c>
      <c r="E56" s="5" t="s">
        <v>480</v>
      </c>
    </row>
    <row r="57" spans="2:10" x14ac:dyDescent="0.25">
      <c r="B57" s="95"/>
      <c r="C57" t="s">
        <v>493</v>
      </c>
      <c r="D57">
        <v>2282</v>
      </c>
      <c r="E57" s="5" t="s">
        <v>494</v>
      </c>
    </row>
    <row r="58" spans="2:10" x14ac:dyDescent="0.25">
      <c r="B58" s="95"/>
      <c r="C58" t="s">
        <v>482</v>
      </c>
      <c r="D58">
        <v>72</v>
      </c>
      <c r="E58" s="5" t="s">
        <v>480</v>
      </c>
    </row>
    <row r="59" spans="2:10" x14ac:dyDescent="0.25">
      <c r="B59" s="95"/>
      <c r="C59" t="s">
        <v>496</v>
      </c>
      <c r="D59">
        <v>0.28000000000000003</v>
      </c>
      <c r="E59" s="5" t="s">
        <v>480</v>
      </c>
    </row>
    <row r="60" spans="2:10" x14ac:dyDescent="0.25">
      <c r="B60" s="95"/>
      <c r="C60" t="s">
        <v>497</v>
      </c>
      <c r="D60">
        <v>0.06</v>
      </c>
      <c r="E60" s="5" t="s">
        <v>480</v>
      </c>
    </row>
    <row r="61" spans="2:10" x14ac:dyDescent="0.25">
      <c r="B61" s="95" t="s">
        <v>498</v>
      </c>
      <c r="C61" t="s">
        <v>83</v>
      </c>
      <c r="D61">
        <v>4.5</v>
      </c>
      <c r="E61" s="5" t="s">
        <v>494</v>
      </c>
    </row>
    <row r="62" spans="2:10" x14ac:dyDescent="0.25">
      <c r="B62" s="95"/>
      <c r="C62" t="s">
        <v>82</v>
      </c>
      <c r="D62">
        <v>4.5</v>
      </c>
      <c r="E62" s="5" t="s">
        <v>494</v>
      </c>
    </row>
    <row r="63" spans="2:10" x14ac:dyDescent="0.25">
      <c r="B63" s="95"/>
      <c r="C63" t="s">
        <v>77</v>
      </c>
      <c r="D63">
        <v>1</v>
      </c>
      <c r="E63" s="5" t="s">
        <v>483</v>
      </c>
    </row>
    <row r="64" spans="2:10" x14ac:dyDescent="0.25">
      <c r="B64" s="46" t="s">
        <v>29</v>
      </c>
      <c r="C64" s="2" t="s">
        <v>76</v>
      </c>
      <c r="D64" s="2">
        <v>421.5</v>
      </c>
      <c r="E64" s="14" t="s">
        <v>480</v>
      </c>
    </row>
    <row r="65" spans="2:6" x14ac:dyDescent="0.25">
      <c r="B65" s="6"/>
      <c r="E65" s="5"/>
    </row>
    <row r="66" spans="2:6" x14ac:dyDescent="0.25">
      <c r="B66" s="76" t="s">
        <v>13</v>
      </c>
      <c r="C66" s="77"/>
      <c r="D66" s="77"/>
      <c r="E66" s="78"/>
    </row>
    <row r="67" spans="2:6" ht="15.75" thickBot="1" x14ac:dyDescent="0.3">
      <c r="B67" s="7"/>
      <c r="C67" s="8"/>
      <c r="D67" s="8"/>
      <c r="E67" s="9"/>
    </row>
    <row r="69" spans="2:6" ht="15.75" thickBot="1" x14ac:dyDescent="0.3"/>
    <row r="70" spans="2:6" x14ac:dyDescent="0.25">
      <c r="B70" s="82" t="s">
        <v>111</v>
      </c>
      <c r="C70" s="83"/>
      <c r="D70" s="83"/>
      <c r="E70" s="83"/>
      <c r="F70" s="84"/>
    </row>
    <row r="71" spans="2:6" x14ac:dyDescent="0.25">
      <c r="B71" s="93" t="s">
        <v>499</v>
      </c>
      <c r="C71" s="94"/>
      <c r="D71" s="94"/>
      <c r="E71" s="39"/>
      <c r="F71" s="14"/>
    </row>
    <row r="72" spans="2:6" x14ac:dyDescent="0.25">
      <c r="B72" s="6" t="s">
        <v>123</v>
      </c>
      <c r="C72" s="18" t="s">
        <v>7</v>
      </c>
      <c r="D72" t="s">
        <v>120</v>
      </c>
      <c r="E72" t="s">
        <v>119</v>
      </c>
      <c r="F72" s="5" t="s">
        <v>12</v>
      </c>
    </row>
    <row r="73" spans="2:6" ht="15.75" thickBot="1" x14ac:dyDescent="0.3">
      <c r="B73" s="7" t="s">
        <v>118</v>
      </c>
      <c r="C73" s="8" t="s">
        <v>76</v>
      </c>
      <c r="D73" s="8">
        <v>421.5</v>
      </c>
      <c r="E73" s="8">
        <v>68.5</v>
      </c>
      <c r="F73" s="9" t="s">
        <v>480</v>
      </c>
    </row>
    <row r="75" spans="2:6" x14ac:dyDescent="0.25">
      <c r="B75" t="s">
        <v>84</v>
      </c>
      <c r="C75" t="s">
        <v>500</v>
      </c>
    </row>
  </sheetData>
  <mergeCells count="28">
    <mergeCell ref="B71:D71"/>
    <mergeCell ref="B66:E66"/>
    <mergeCell ref="B11:B13"/>
    <mergeCell ref="B37:B44"/>
    <mergeCell ref="B45:B52"/>
    <mergeCell ref="B54:B60"/>
    <mergeCell ref="B14:B21"/>
    <mergeCell ref="B61:B63"/>
    <mergeCell ref="B70:F70"/>
    <mergeCell ref="B32:D32"/>
    <mergeCell ref="G32:I32"/>
    <mergeCell ref="B33:D33"/>
    <mergeCell ref="G33:I33"/>
    <mergeCell ref="G34:I34"/>
    <mergeCell ref="B35:E35"/>
    <mergeCell ref="G35:I35"/>
    <mergeCell ref="G8:I8"/>
    <mergeCell ref="B9:E9"/>
    <mergeCell ref="G9:I9"/>
    <mergeCell ref="B24:E24"/>
    <mergeCell ref="B31:E31"/>
    <mergeCell ref="G31:J31"/>
    <mergeCell ref="B5:E5"/>
    <mergeCell ref="G5:J5"/>
    <mergeCell ref="B6:D6"/>
    <mergeCell ref="G6:I6"/>
    <mergeCell ref="B7:D7"/>
    <mergeCell ref="G7:I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F4F05-471E-4441-B787-FB3758CE93DA}">
  <dimension ref="B2:DA123"/>
  <sheetViews>
    <sheetView zoomScale="55" zoomScaleNormal="55" workbookViewId="0">
      <selection activeCell="K148" sqref="K148:N178"/>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s>
  <sheetData>
    <row r="2" spans="2:12" x14ac:dyDescent="0.25">
      <c r="B2" s="85" t="s">
        <v>2</v>
      </c>
      <c r="C2" s="85"/>
      <c r="D2" s="1" t="s">
        <v>612</v>
      </c>
    </row>
    <row r="3" spans="2:12" x14ac:dyDescent="0.25">
      <c r="C3" s="85" t="s">
        <v>611</v>
      </c>
      <c r="D3" s="1" t="s">
        <v>585</v>
      </c>
    </row>
    <row r="4" spans="2:12" x14ac:dyDescent="0.25">
      <c r="C4" s="85"/>
      <c r="D4" s="1" t="s">
        <v>586</v>
      </c>
    </row>
    <row r="5" spans="2:12" ht="15.75" thickBot="1" x14ac:dyDescent="0.3"/>
    <row r="6" spans="2:12" x14ac:dyDescent="0.25">
      <c r="B6" s="86" t="s">
        <v>0</v>
      </c>
      <c r="C6" s="87"/>
      <c r="D6" s="87"/>
      <c r="E6" s="88"/>
      <c r="G6" s="86" t="s">
        <v>16</v>
      </c>
      <c r="H6" s="87"/>
      <c r="I6" s="87"/>
      <c r="J6" s="87"/>
      <c r="K6" s="87"/>
      <c r="L6" s="88"/>
    </row>
    <row r="7" spans="2:12" x14ac:dyDescent="0.25">
      <c r="B7" s="74" t="s">
        <v>6</v>
      </c>
      <c r="C7" s="75"/>
      <c r="D7" s="75"/>
      <c r="E7" s="5" t="s">
        <v>559</v>
      </c>
      <c r="G7" s="74" t="s">
        <v>36</v>
      </c>
      <c r="H7" s="75"/>
      <c r="I7" s="75"/>
      <c r="J7">
        <v>1129.05</v>
      </c>
      <c r="L7" s="5"/>
    </row>
    <row r="8" spans="2:12" x14ac:dyDescent="0.25">
      <c r="B8" s="74" t="s">
        <v>5</v>
      </c>
      <c r="C8" s="75"/>
      <c r="D8" s="75"/>
      <c r="E8" s="5" t="s">
        <v>619</v>
      </c>
      <c r="G8" s="74" t="s">
        <v>5</v>
      </c>
      <c r="H8" s="75"/>
      <c r="I8" s="75"/>
      <c r="J8">
        <v>1300</v>
      </c>
      <c r="L8" s="5"/>
    </row>
    <row r="9" spans="2:12" x14ac:dyDescent="0.25">
      <c r="B9" s="20"/>
      <c r="C9" s="21"/>
      <c r="D9" s="21"/>
      <c r="E9" s="12"/>
      <c r="G9" s="10" t="s">
        <v>19</v>
      </c>
      <c r="H9" s="104" t="s">
        <v>21</v>
      </c>
      <c r="I9" s="104"/>
      <c r="J9" s="104"/>
      <c r="K9" s="104"/>
      <c r="L9" s="105"/>
    </row>
    <row r="10" spans="2:12" x14ac:dyDescent="0.25">
      <c r="B10" s="76" t="s">
        <v>7</v>
      </c>
      <c r="C10" s="77"/>
      <c r="D10" s="77"/>
      <c r="E10" s="78"/>
      <c r="G10" s="6" t="s">
        <v>71</v>
      </c>
      <c r="I10" s="85" t="s">
        <v>86</v>
      </c>
      <c r="J10" s="85"/>
      <c r="K10" s="85" t="s">
        <v>72</v>
      </c>
      <c r="L10" s="106"/>
    </row>
    <row r="11" spans="2:12" x14ac:dyDescent="0.25">
      <c r="B11" s="6" t="s">
        <v>9</v>
      </c>
      <c r="C11" t="s">
        <v>10</v>
      </c>
      <c r="D11" t="s">
        <v>11</v>
      </c>
      <c r="E11" s="5" t="s">
        <v>12</v>
      </c>
      <c r="G11" s="6" t="s">
        <v>17</v>
      </c>
      <c r="H11" t="s">
        <v>12</v>
      </c>
      <c r="I11" t="s">
        <v>18</v>
      </c>
      <c r="J11" t="s">
        <v>37</v>
      </c>
      <c r="K11" t="s">
        <v>18</v>
      </c>
      <c r="L11" s="5" t="s">
        <v>37</v>
      </c>
    </row>
    <row r="12" spans="2:12" x14ac:dyDescent="0.25">
      <c r="B12" s="95" t="s">
        <v>560</v>
      </c>
      <c r="C12" s="38" t="s">
        <v>561</v>
      </c>
      <c r="D12" s="40">
        <v>263.54399999999998</v>
      </c>
      <c r="E12" s="43" t="s">
        <v>23</v>
      </c>
      <c r="G12" s="6" t="s">
        <v>39</v>
      </c>
      <c r="H12" t="s">
        <v>40</v>
      </c>
      <c r="I12">
        <v>50588.635999999999</v>
      </c>
      <c r="J12">
        <f>I12/$J$7</f>
        <v>44.806373499845002</v>
      </c>
      <c r="K12">
        <v>50691.428999999996</v>
      </c>
      <c r="L12" s="5">
        <f>K12/$J$7</f>
        <v>44.897417297728175</v>
      </c>
    </row>
    <row r="13" spans="2:12" x14ac:dyDescent="0.25">
      <c r="B13" s="95"/>
      <c r="C13" s="38" t="s">
        <v>562</v>
      </c>
      <c r="D13" s="40">
        <v>131.77199999999999</v>
      </c>
      <c r="E13" s="43" t="s">
        <v>23</v>
      </c>
      <c r="G13" s="6" t="s">
        <v>41</v>
      </c>
      <c r="H13" t="s">
        <v>42</v>
      </c>
      <c r="I13">
        <v>2.2530016E-2</v>
      </c>
      <c r="J13">
        <f t="shared" ref="J13:J29" si="0">I13/$J$7</f>
        <v>1.9954843452460035E-5</v>
      </c>
      <c r="K13">
        <v>2.2551227E-2</v>
      </c>
      <c r="L13" s="5">
        <f t="shared" ref="L13:L29" si="1">K13/$J$7</f>
        <v>1.997363004295647E-5</v>
      </c>
    </row>
    <row r="14" spans="2:12" x14ac:dyDescent="0.25">
      <c r="B14" s="95"/>
      <c r="C14" s="38" t="s">
        <v>563</v>
      </c>
      <c r="D14" s="40">
        <v>37.555019999999999</v>
      </c>
      <c r="E14" s="43" t="s">
        <v>23</v>
      </c>
      <c r="G14" s="6" t="s">
        <v>43</v>
      </c>
      <c r="H14" t="s">
        <v>44</v>
      </c>
      <c r="I14">
        <v>3201.5571</v>
      </c>
      <c r="J14">
        <f t="shared" si="0"/>
        <v>2.8356203002524247</v>
      </c>
      <c r="K14">
        <v>3204.0569999999998</v>
      </c>
      <c r="L14" s="5">
        <f t="shared" si="1"/>
        <v>2.8378344626013021</v>
      </c>
    </row>
    <row r="15" spans="2:12" x14ac:dyDescent="0.25">
      <c r="B15" s="95"/>
      <c r="C15" t="s">
        <v>566</v>
      </c>
      <c r="D15" s="40">
        <v>5.0964686385861047</v>
      </c>
      <c r="E15" s="5" t="s">
        <v>23</v>
      </c>
      <c r="G15" s="6" t="s">
        <v>45</v>
      </c>
      <c r="H15" t="s">
        <v>46</v>
      </c>
      <c r="I15">
        <v>173.71673000000001</v>
      </c>
      <c r="J15">
        <f t="shared" si="0"/>
        <v>0.15386097161330323</v>
      </c>
      <c r="K15">
        <v>173.89007000000001</v>
      </c>
      <c r="L15" s="5">
        <f t="shared" si="1"/>
        <v>0.15401449891501706</v>
      </c>
    </row>
    <row r="16" spans="2:12" x14ac:dyDescent="0.25">
      <c r="B16" s="95"/>
      <c r="C16" t="s">
        <v>567</v>
      </c>
      <c r="D16" s="40">
        <v>2.353006689992375E-7</v>
      </c>
      <c r="E16" s="5" t="s">
        <v>171</v>
      </c>
      <c r="G16" s="6" t="s">
        <v>47</v>
      </c>
      <c r="H16" t="s">
        <v>48</v>
      </c>
      <c r="I16">
        <v>222.48945000000001</v>
      </c>
      <c r="J16">
        <f t="shared" si="0"/>
        <v>0.19705898764447988</v>
      </c>
      <c r="K16">
        <v>222.56585000000001</v>
      </c>
      <c r="L16" s="5">
        <f t="shared" si="1"/>
        <v>0.19712665515256192</v>
      </c>
    </row>
    <row r="17" spans="2:12" x14ac:dyDescent="0.25">
      <c r="B17" s="95"/>
      <c r="C17" t="s">
        <v>568</v>
      </c>
      <c r="D17" s="40">
        <v>51.375691921230896</v>
      </c>
      <c r="E17" s="5" t="s">
        <v>23</v>
      </c>
      <c r="G17" s="6" t="s">
        <v>49</v>
      </c>
      <c r="H17" t="s">
        <v>46</v>
      </c>
      <c r="I17">
        <v>185.31088</v>
      </c>
      <c r="J17">
        <f t="shared" si="0"/>
        <v>0.16412991452991454</v>
      </c>
      <c r="K17">
        <v>185.48787999999999</v>
      </c>
      <c r="L17" s="5">
        <f t="shared" si="1"/>
        <v>0.16428668349497363</v>
      </c>
    </row>
    <row r="18" spans="2:12" x14ac:dyDescent="0.25">
      <c r="B18" s="95"/>
      <c r="C18" t="s">
        <v>524</v>
      </c>
      <c r="D18" s="40">
        <v>5.0964686385861047</v>
      </c>
      <c r="E18" s="5" t="s">
        <v>23</v>
      </c>
      <c r="G18" s="6" t="s">
        <v>50</v>
      </c>
      <c r="H18" t="s">
        <v>51</v>
      </c>
      <c r="I18">
        <v>613.84879000000001</v>
      </c>
      <c r="J18">
        <f t="shared" si="0"/>
        <v>0.54368609893273112</v>
      </c>
      <c r="K18">
        <v>613.97963000000004</v>
      </c>
      <c r="L18" s="5">
        <f t="shared" si="1"/>
        <v>0.5438019839688234</v>
      </c>
    </row>
    <row r="19" spans="2:12" x14ac:dyDescent="0.25">
      <c r="B19" s="95"/>
      <c r="C19" t="s">
        <v>572</v>
      </c>
      <c r="D19">
        <v>25.2563</v>
      </c>
      <c r="E19" s="5" t="s">
        <v>23</v>
      </c>
      <c r="G19" s="6" t="s">
        <v>52</v>
      </c>
      <c r="H19" t="s">
        <v>53</v>
      </c>
      <c r="I19">
        <v>80.365615000000005</v>
      </c>
      <c r="J19">
        <f t="shared" si="0"/>
        <v>7.1179854745139728E-2</v>
      </c>
      <c r="K19">
        <v>80.381979000000001</v>
      </c>
      <c r="L19" s="5">
        <f t="shared" si="1"/>
        <v>7.1194348345954561E-2</v>
      </c>
    </row>
    <row r="20" spans="2:12" x14ac:dyDescent="0.25">
      <c r="B20" s="95"/>
      <c r="C20" t="s">
        <v>80</v>
      </c>
      <c r="D20" s="40">
        <v>51.375691921230896</v>
      </c>
      <c r="E20" s="5" t="s">
        <v>23</v>
      </c>
      <c r="G20" s="6" t="s">
        <v>54</v>
      </c>
      <c r="H20" t="s">
        <v>55</v>
      </c>
      <c r="I20">
        <v>2.6273547000000002</v>
      </c>
      <c r="J20">
        <f t="shared" si="0"/>
        <v>2.3270490235153449E-3</v>
      </c>
      <c r="K20">
        <v>2.6287273999999998</v>
      </c>
      <c r="L20" s="5">
        <f t="shared" si="1"/>
        <v>2.3282648244099019E-3</v>
      </c>
    </row>
    <row r="21" spans="2:12" x14ac:dyDescent="0.25">
      <c r="B21" s="95"/>
      <c r="C21" t="s">
        <v>569</v>
      </c>
      <c r="D21" s="40">
        <v>282.56630556676993</v>
      </c>
      <c r="E21" s="5" t="s">
        <v>450</v>
      </c>
      <c r="G21" s="6" t="s">
        <v>56</v>
      </c>
      <c r="H21" t="s">
        <v>57</v>
      </c>
      <c r="I21">
        <v>1615439.7</v>
      </c>
      <c r="J21">
        <f t="shared" si="0"/>
        <v>1430.7955360701476</v>
      </c>
      <c r="K21">
        <v>1615743.3</v>
      </c>
      <c r="L21" s="5">
        <f t="shared" si="1"/>
        <v>1431.0644347017405</v>
      </c>
    </row>
    <row r="22" spans="2:12" x14ac:dyDescent="0.25">
      <c r="B22" s="95"/>
      <c r="C22" t="s">
        <v>570</v>
      </c>
      <c r="D22" s="40">
        <v>282.56630556676993</v>
      </c>
      <c r="E22" s="5" t="s">
        <v>450</v>
      </c>
      <c r="G22" s="6" t="s">
        <v>58</v>
      </c>
      <c r="H22" t="s">
        <v>57</v>
      </c>
      <c r="I22">
        <v>54419.446000000004</v>
      </c>
      <c r="J22">
        <f t="shared" si="0"/>
        <v>48.199323324919185</v>
      </c>
      <c r="K22">
        <v>55599.896000000001</v>
      </c>
      <c r="L22" s="5">
        <f t="shared" si="1"/>
        <v>49.244848323812057</v>
      </c>
    </row>
    <row r="23" spans="2:12" x14ac:dyDescent="0.25">
      <c r="B23" s="95" t="s">
        <v>564</v>
      </c>
      <c r="C23" t="s">
        <v>567</v>
      </c>
      <c r="D23">
        <v>5.0634321177051103E-8</v>
      </c>
      <c r="E23" s="5" t="s">
        <v>171</v>
      </c>
      <c r="G23" s="6" t="s">
        <v>59</v>
      </c>
      <c r="H23" t="s">
        <v>57</v>
      </c>
      <c r="I23">
        <v>68622.760999999999</v>
      </c>
      <c r="J23">
        <f t="shared" si="0"/>
        <v>60.779204641069924</v>
      </c>
      <c r="K23">
        <v>70030.176999999996</v>
      </c>
      <c r="L23" s="5">
        <f t="shared" si="1"/>
        <v>62.025753509587709</v>
      </c>
    </row>
    <row r="24" spans="2:12" x14ac:dyDescent="0.25">
      <c r="B24" s="95"/>
      <c r="C24" t="s">
        <v>568</v>
      </c>
      <c r="D24">
        <v>110.55528641277533</v>
      </c>
      <c r="E24" s="5" t="s">
        <v>23</v>
      </c>
      <c r="G24" s="6" t="s">
        <v>60</v>
      </c>
      <c r="H24" t="s">
        <v>57</v>
      </c>
      <c r="I24">
        <v>66345.88</v>
      </c>
      <c r="J24">
        <f t="shared" si="0"/>
        <v>58.762570302466685</v>
      </c>
      <c r="K24">
        <v>66354.91</v>
      </c>
      <c r="L24" s="5">
        <f t="shared" si="1"/>
        <v>58.770568176785801</v>
      </c>
    </row>
    <row r="25" spans="2:12" x14ac:dyDescent="0.25">
      <c r="B25" s="95"/>
      <c r="C25" t="s">
        <v>571</v>
      </c>
      <c r="D25">
        <v>6.0805407527026434</v>
      </c>
      <c r="E25" s="5" t="s">
        <v>23</v>
      </c>
      <c r="G25" s="6" t="s">
        <v>61</v>
      </c>
      <c r="H25" t="s">
        <v>57</v>
      </c>
      <c r="I25">
        <v>820801.83</v>
      </c>
      <c r="J25">
        <f t="shared" si="0"/>
        <v>726.9844825295603</v>
      </c>
      <c r="K25">
        <v>820902.47</v>
      </c>
      <c r="L25" s="5">
        <f t="shared" si="1"/>
        <v>727.07361941455201</v>
      </c>
    </row>
    <row r="26" spans="2:12" x14ac:dyDescent="0.25">
      <c r="B26" s="95"/>
      <c r="C26" t="s">
        <v>80</v>
      </c>
      <c r="D26">
        <v>110.55528641277533</v>
      </c>
      <c r="E26" s="5" t="s">
        <v>23</v>
      </c>
      <c r="G26" s="6" t="s">
        <v>62</v>
      </c>
      <c r="H26" t="s">
        <v>63</v>
      </c>
      <c r="I26">
        <v>3141.6792999999998</v>
      </c>
      <c r="J26">
        <f t="shared" si="0"/>
        <v>2.782586510783402</v>
      </c>
      <c r="K26">
        <v>3142.4393</v>
      </c>
      <c r="L26" s="5">
        <f t="shared" si="1"/>
        <v>2.7832596430627521</v>
      </c>
    </row>
    <row r="27" spans="2:12" x14ac:dyDescent="0.25">
      <c r="B27" s="95"/>
      <c r="C27" t="s">
        <v>569</v>
      </c>
      <c r="D27">
        <v>34.824915220024231</v>
      </c>
      <c r="E27" s="5" t="s">
        <v>450</v>
      </c>
      <c r="G27" s="6" t="s">
        <v>64</v>
      </c>
      <c r="H27" t="s">
        <v>65</v>
      </c>
      <c r="I27">
        <v>2556.5475000000001</v>
      </c>
      <c r="J27">
        <f t="shared" si="0"/>
        <v>2.2643350604490502</v>
      </c>
      <c r="K27">
        <v>2556.6127000000001</v>
      </c>
      <c r="L27" s="5">
        <f t="shared" si="1"/>
        <v>2.2643928081130156</v>
      </c>
    </row>
    <row r="28" spans="2:12" x14ac:dyDescent="0.25">
      <c r="B28" s="95"/>
      <c r="C28" t="s">
        <v>570</v>
      </c>
      <c r="D28">
        <v>34.824915220024231</v>
      </c>
      <c r="E28" s="5" t="s">
        <v>450</v>
      </c>
      <c r="G28" s="6" t="s">
        <v>66</v>
      </c>
      <c r="H28" t="s">
        <v>67</v>
      </c>
      <c r="I28">
        <v>13211.623</v>
      </c>
      <c r="J28">
        <f t="shared" si="0"/>
        <v>11.70153934723883</v>
      </c>
      <c r="K28">
        <v>13220.6</v>
      </c>
      <c r="L28" s="5">
        <f t="shared" si="1"/>
        <v>11.709490279438466</v>
      </c>
    </row>
    <row r="29" spans="2:12" ht="15.75" thickBot="1" x14ac:dyDescent="0.3">
      <c r="B29" s="46" t="s">
        <v>565</v>
      </c>
      <c r="C29" s="41" t="s">
        <v>530</v>
      </c>
      <c r="D29" s="41">
        <v>2.6</v>
      </c>
      <c r="E29" s="44" t="s">
        <v>171</v>
      </c>
      <c r="G29" s="7" t="s">
        <v>68</v>
      </c>
      <c r="H29" s="8" t="s">
        <v>69</v>
      </c>
      <c r="I29" s="8">
        <v>549.49677999999994</v>
      </c>
      <c r="J29" s="8">
        <f t="shared" si="0"/>
        <v>0.48668950002214251</v>
      </c>
      <c r="K29" s="8">
        <v>550.90020000000004</v>
      </c>
      <c r="L29" s="9">
        <f t="shared" si="1"/>
        <v>0.48793250963199153</v>
      </c>
    </row>
    <row r="30" spans="2:12" x14ac:dyDescent="0.25">
      <c r="B30" s="6"/>
      <c r="E30" s="5"/>
    </row>
    <row r="31" spans="2:12" x14ac:dyDescent="0.25">
      <c r="B31" s="76" t="s">
        <v>13</v>
      </c>
      <c r="C31" s="77"/>
      <c r="D31" s="77"/>
      <c r="E31" s="78"/>
    </row>
    <row r="32" spans="2:12" x14ac:dyDescent="0.25">
      <c r="B32" s="47"/>
      <c r="C32" s="3" t="s">
        <v>496</v>
      </c>
      <c r="D32" s="3">
        <v>65.032521419279604</v>
      </c>
      <c r="E32" s="15" t="s">
        <v>27</v>
      </c>
    </row>
    <row r="33" spans="2:12" x14ac:dyDescent="0.25">
      <c r="B33" s="47"/>
      <c r="C33" s="3" t="s">
        <v>77</v>
      </c>
      <c r="D33" s="3">
        <v>6.5032521419279607</v>
      </c>
      <c r="E33" s="15" t="s">
        <v>195</v>
      </c>
    </row>
    <row r="34" spans="2:12" x14ac:dyDescent="0.25">
      <c r="B34" s="6"/>
      <c r="C34" t="s">
        <v>621</v>
      </c>
      <c r="D34">
        <v>9.3130000000000006</v>
      </c>
      <c r="E34" s="5" t="s">
        <v>23</v>
      </c>
    </row>
    <row r="35" spans="2:12" x14ac:dyDescent="0.25">
      <c r="B35" s="6"/>
      <c r="C35" t="s">
        <v>622</v>
      </c>
      <c r="D35">
        <v>8.0965489167003106</v>
      </c>
      <c r="E35" s="5" t="s">
        <v>23</v>
      </c>
    </row>
    <row r="36" spans="2:12" x14ac:dyDescent="0.25">
      <c r="B36" s="6"/>
      <c r="C36" t="s">
        <v>626</v>
      </c>
      <c r="D36">
        <v>97.995000000000005</v>
      </c>
      <c r="E36" s="5" t="s">
        <v>23</v>
      </c>
    </row>
    <row r="37" spans="2:12" x14ac:dyDescent="0.25">
      <c r="B37" s="6"/>
      <c r="C37" t="s">
        <v>625</v>
      </c>
      <c r="D37">
        <v>1.7236000000000001E-6</v>
      </c>
      <c r="E37" s="5" t="s">
        <v>23</v>
      </c>
    </row>
    <row r="38" spans="2:12" x14ac:dyDescent="0.25">
      <c r="B38" s="6"/>
      <c r="C38" t="s">
        <v>623</v>
      </c>
      <c r="D38">
        <v>8.8960000000000008</v>
      </c>
      <c r="E38" s="5" t="s">
        <v>23</v>
      </c>
    </row>
    <row r="39" spans="2:12" ht="15.75" thickBot="1" x14ac:dyDescent="0.3">
      <c r="B39" s="7"/>
      <c r="C39" s="8" t="s">
        <v>624</v>
      </c>
      <c r="D39" s="8">
        <v>42.395000000000003</v>
      </c>
      <c r="E39" s="9" t="s">
        <v>23</v>
      </c>
    </row>
    <row r="41" spans="2:12" ht="15.75" thickBot="1" x14ac:dyDescent="0.3"/>
    <row r="42" spans="2:12" x14ac:dyDescent="0.25">
      <c r="B42" s="79" t="s">
        <v>1</v>
      </c>
      <c r="C42" s="80"/>
      <c r="D42" s="80"/>
      <c r="E42" s="81"/>
      <c r="G42" s="79" t="s">
        <v>70</v>
      </c>
      <c r="H42" s="80"/>
      <c r="I42" s="80"/>
      <c r="J42" s="80"/>
      <c r="K42" s="80"/>
      <c r="L42" s="81"/>
    </row>
    <row r="43" spans="2:12" x14ac:dyDescent="0.25">
      <c r="B43" s="74" t="s">
        <v>14</v>
      </c>
      <c r="C43" s="75"/>
      <c r="D43" s="75"/>
      <c r="E43" s="5" t="s">
        <v>557</v>
      </c>
      <c r="G43" s="74" t="s">
        <v>38</v>
      </c>
      <c r="H43" s="75"/>
      <c r="I43" s="75"/>
      <c r="J43">
        <v>1129.05</v>
      </c>
      <c r="L43" s="5"/>
    </row>
    <row r="44" spans="2:12" x14ac:dyDescent="0.25">
      <c r="B44" s="74" t="s">
        <v>15</v>
      </c>
      <c r="C44" s="75"/>
      <c r="D44" s="75"/>
      <c r="E44" s="5" t="s">
        <v>558</v>
      </c>
      <c r="G44" s="74" t="s">
        <v>15</v>
      </c>
      <c r="H44" s="75"/>
      <c r="I44" s="75"/>
      <c r="J44">
        <v>1300</v>
      </c>
      <c r="L44" s="5"/>
    </row>
    <row r="45" spans="2:12" x14ac:dyDescent="0.25">
      <c r="B45" s="20"/>
      <c r="C45" s="21"/>
      <c r="D45" s="21"/>
      <c r="E45" s="12"/>
      <c r="G45" s="10" t="s">
        <v>19</v>
      </c>
      <c r="H45" s="104" t="s">
        <v>21</v>
      </c>
      <c r="I45" s="104"/>
      <c r="J45" s="104"/>
      <c r="K45" s="104"/>
      <c r="L45" s="105"/>
    </row>
    <row r="46" spans="2:12" x14ac:dyDescent="0.25">
      <c r="B46" s="76" t="s">
        <v>7</v>
      </c>
      <c r="C46" s="77"/>
      <c r="D46" s="77"/>
      <c r="E46" s="78"/>
      <c r="G46" s="6" t="s">
        <v>71</v>
      </c>
      <c r="I46" s="85" t="s">
        <v>86</v>
      </c>
      <c r="J46" s="85"/>
      <c r="K46" s="85" t="s">
        <v>72</v>
      </c>
      <c r="L46" s="106"/>
    </row>
    <row r="47" spans="2:12" x14ac:dyDescent="0.25">
      <c r="B47" s="6" t="s">
        <v>9</v>
      </c>
      <c r="C47" t="s">
        <v>10</v>
      </c>
      <c r="D47" t="s">
        <v>11</v>
      </c>
      <c r="E47" s="5" t="s">
        <v>12</v>
      </c>
      <c r="G47" s="6" t="s">
        <v>17</v>
      </c>
      <c r="H47" t="s">
        <v>12</v>
      </c>
      <c r="I47" t="s">
        <v>18</v>
      </c>
      <c r="J47" t="s">
        <v>20</v>
      </c>
      <c r="K47" t="s">
        <v>18</v>
      </c>
      <c r="L47" s="5" t="s">
        <v>20</v>
      </c>
    </row>
    <row r="48" spans="2:12" x14ac:dyDescent="0.25">
      <c r="B48" s="95" t="s">
        <v>560</v>
      </c>
      <c r="C48" s="38" t="s">
        <v>628</v>
      </c>
      <c r="D48">
        <v>1.3</v>
      </c>
      <c r="E48" s="5" t="s">
        <v>589</v>
      </c>
      <c r="G48" s="6" t="s">
        <v>39</v>
      </c>
      <c r="H48" t="s">
        <v>40</v>
      </c>
      <c r="I48">
        <v>83108.160999999993</v>
      </c>
      <c r="J48">
        <f>I48/$J$43</f>
        <v>73.608928745405422</v>
      </c>
      <c r="K48">
        <v>94710.562999999995</v>
      </c>
      <c r="L48" s="5">
        <f>K48/$J$43</f>
        <v>83.885180461449892</v>
      </c>
    </row>
    <row r="49" spans="2:12" x14ac:dyDescent="0.25">
      <c r="B49" s="95"/>
      <c r="C49" t="s">
        <v>566</v>
      </c>
      <c r="D49">
        <v>103.8350513614139</v>
      </c>
      <c r="E49" s="5" t="s">
        <v>23</v>
      </c>
      <c r="G49" s="6" t="s">
        <v>41</v>
      </c>
      <c r="H49" t="s">
        <v>42</v>
      </c>
      <c r="I49">
        <v>3.7540276999999997E-2</v>
      </c>
      <c r="J49">
        <f t="shared" ref="J49:J65" si="2">I49/$J$43</f>
        <v>3.3249437137416413E-5</v>
      </c>
      <c r="K49">
        <v>4.2293604999999998E-2</v>
      </c>
      <c r="L49" s="5">
        <f t="shared" ref="L49:L65" si="3">K49/$J$43</f>
        <v>3.7459461494176521E-5</v>
      </c>
    </row>
    <row r="50" spans="2:12" x14ac:dyDescent="0.25">
      <c r="B50" s="95"/>
      <c r="C50" t="s">
        <v>567</v>
      </c>
      <c r="D50">
        <v>4.7939973310007631E-6</v>
      </c>
      <c r="E50" s="5" t="s">
        <v>171</v>
      </c>
      <c r="G50" s="6" t="s">
        <v>43</v>
      </c>
      <c r="H50" t="s">
        <v>44</v>
      </c>
      <c r="I50">
        <v>6389.1509999999998</v>
      </c>
      <c r="J50">
        <f t="shared" si="2"/>
        <v>5.6588733891324567</v>
      </c>
      <c r="K50">
        <v>7355.3573999999999</v>
      </c>
      <c r="L50" s="5">
        <f t="shared" si="3"/>
        <v>6.5146427527567425</v>
      </c>
    </row>
    <row r="51" spans="2:12" x14ac:dyDescent="0.25">
      <c r="B51" s="95"/>
      <c r="C51" t="s">
        <v>568</v>
      </c>
      <c r="D51">
        <v>1046.7243080787691</v>
      </c>
      <c r="E51" s="5" t="s">
        <v>23</v>
      </c>
      <c r="G51" s="6" t="s">
        <v>45</v>
      </c>
      <c r="H51" t="s">
        <v>46</v>
      </c>
      <c r="I51">
        <v>276.55399</v>
      </c>
      <c r="J51">
        <f t="shared" si="2"/>
        <v>0.24494397059474782</v>
      </c>
      <c r="K51">
        <v>306.62344000000002</v>
      </c>
      <c r="L51" s="5">
        <f t="shared" si="3"/>
        <v>0.27157649351224483</v>
      </c>
    </row>
    <row r="52" spans="2:12" x14ac:dyDescent="0.25">
      <c r="B52" s="95"/>
      <c r="C52" t="s">
        <v>524</v>
      </c>
      <c r="D52">
        <v>103.8350513614139</v>
      </c>
      <c r="E52" s="5" t="s">
        <v>23</v>
      </c>
      <c r="G52" s="6" t="s">
        <v>47</v>
      </c>
      <c r="H52" t="s">
        <v>48</v>
      </c>
      <c r="I52">
        <v>402.68894999999998</v>
      </c>
      <c r="J52">
        <f t="shared" si="2"/>
        <v>0.35666175102962666</v>
      </c>
      <c r="K52">
        <v>432.91930000000002</v>
      </c>
      <c r="L52" s="5">
        <f t="shared" si="3"/>
        <v>0.38343678313626506</v>
      </c>
    </row>
    <row r="53" spans="2:12" x14ac:dyDescent="0.25">
      <c r="B53" s="95"/>
      <c r="C53" t="s">
        <v>80</v>
      </c>
      <c r="D53">
        <v>1046.7243080787691</v>
      </c>
      <c r="E53" s="5" t="s">
        <v>23</v>
      </c>
      <c r="G53" s="6" t="s">
        <v>49</v>
      </c>
      <c r="H53" t="s">
        <v>46</v>
      </c>
      <c r="I53">
        <v>284.01348999999999</v>
      </c>
      <c r="J53">
        <f t="shared" si="2"/>
        <v>0.2515508524866038</v>
      </c>
      <c r="K53">
        <v>314.80252000000002</v>
      </c>
      <c r="L53" s="5">
        <f t="shared" si="3"/>
        <v>0.27882070767459372</v>
      </c>
    </row>
    <row r="54" spans="2:12" x14ac:dyDescent="0.25">
      <c r="B54" s="95"/>
      <c r="C54" t="s">
        <v>569</v>
      </c>
      <c r="D54">
        <v>5756.9836944332301</v>
      </c>
      <c r="E54" s="5" t="s">
        <v>450</v>
      </c>
      <c r="G54" s="6" t="s">
        <v>50</v>
      </c>
      <c r="H54" t="s">
        <v>51</v>
      </c>
      <c r="I54">
        <v>1386.88</v>
      </c>
      <c r="J54">
        <f t="shared" si="2"/>
        <v>1.2283601257694523</v>
      </c>
      <c r="K54">
        <v>1444.5817999999999</v>
      </c>
      <c r="L54" s="5">
        <f t="shared" si="3"/>
        <v>1.279466631238652</v>
      </c>
    </row>
    <row r="55" spans="2:12" x14ac:dyDescent="0.25">
      <c r="B55" s="95"/>
      <c r="C55" t="s">
        <v>570</v>
      </c>
      <c r="D55">
        <v>5756.9836944332301</v>
      </c>
      <c r="E55" s="5" t="s">
        <v>450</v>
      </c>
      <c r="G55" s="6" t="s">
        <v>52</v>
      </c>
      <c r="H55" t="s">
        <v>53</v>
      </c>
      <c r="I55">
        <v>121.68607</v>
      </c>
      <c r="J55">
        <f t="shared" si="2"/>
        <v>0.10777739692661972</v>
      </c>
      <c r="K55">
        <v>132.64882</v>
      </c>
      <c r="L55" s="5">
        <f t="shared" si="3"/>
        <v>0.11748710863115008</v>
      </c>
    </row>
    <row r="56" spans="2:12" x14ac:dyDescent="0.25">
      <c r="B56" s="95" t="s">
        <v>564</v>
      </c>
      <c r="C56" t="s">
        <v>567</v>
      </c>
      <c r="D56">
        <v>1.0316196788229489E-6</v>
      </c>
      <c r="E56" s="5" t="s">
        <v>171</v>
      </c>
      <c r="G56" s="6" t="s">
        <v>54</v>
      </c>
      <c r="H56" t="s">
        <v>55</v>
      </c>
      <c r="I56">
        <v>9.0652512000000005</v>
      </c>
      <c r="J56">
        <f t="shared" si="2"/>
        <v>8.0290963199149742E-3</v>
      </c>
      <c r="K56">
        <v>11.291845</v>
      </c>
      <c r="L56" s="5">
        <f t="shared" si="3"/>
        <v>1.0001191266994376E-2</v>
      </c>
    </row>
    <row r="57" spans="2:12" x14ac:dyDescent="0.25">
      <c r="B57" s="95"/>
      <c r="C57" t="s">
        <v>568</v>
      </c>
      <c r="D57">
        <v>2252.4447135872247</v>
      </c>
      <c r="E57" s="5" t="s">
        <v>23</v>
      </c>
      <c r="G57" s="6" t="s">
        <v>56</v>
      </c>
      <c r="H57" t="s">
        <v>57</v>
      </c>
      <c r="I57">
        <v>2863755.1</v>
      </c>
      <c r="J57">
        <f t="shared" si="2"/>
        <v>2536.4289446880121</v>
      </c>
      <c r="K57">
        <v>2903297.2</v>
      </c>
      <c r="L57" s="5">
        <f t="shared" si="3"/>
        <v>2571.4513971923302</v>
      </c>
    </row>
    <row r="58" spans="2:12" x14ac:dyDescent="0.25">
      <c r="B58" s="95"/>
      <c r="C58" t="s">
        <v>571</v>
      </c>
      <c r="D58">
        <v>123.88445924729736</v>
      </c>
      <c r="E58" s="5" t="s">
        <v>23</v>
      </c>
      <c r="G58" s="6" t="s">
        <v>58</v>
      </c>
      <c r="H58" t="s">
        <v>57</v>
      </c>
      <c r="I58">
        <v>68209.679000000004</v>
      </c>
      <c r="J58">
        <f t="shared" si="2"/>
        <v>60.41333776183518</v>
      </c>
      <c r="K58">
        <v>69527.392000000007</v>
      </c>
      <c r="L58" s="5">
        <f t="shared" si="3"/>
        <v>61.580436650281221</v>
      </c>
    </row>
    <row r="59" spans="2:12" x14ac:dyDescent="0.25">
      <c r="B59" s="95"/>
      <c r="C59" t="s">
        <v>80</v>
      </c>
      <c r="D59">
        <v>2252.4447135872247</v>
      </c>
      <c r="E59" s="5" t="s">
        <v>23</v>
      </c>
      <c r="G59" s="6" t="s">
        <v>59</v>
      </c>
      <c r="H59" t="s">
        <v>57</v>
      </c>
      <c r="I59">
        <v>86243.07</v>
      </c>
      <c r="J59">
        <f t="shared" si="2"/>
        <v>76.385518798990304</v>
      </c>
      <c r="K59">
        <v>87934.94</v>
      </c>
      <c r="L59" s="5">
        <f t="shared" si="3"/>
        <v>77.884008679863612</v>
      </c>
    </row>
    <row r="60" spans="2:12" x14ac:dyDescent="0.25">
      <c r="B60" s="95"/>
      <c r="C60" t="s">
        <v>569</v>
      </c>
      <c r="D60">
        <v>709.52008477997583</v>
      </c>
      <c r="E60" s="5" t="s">
        <v>450</v>
      </c>
      <c r="G60" s="6" t="s">
        <v>60</v>
      </c>
      <c r="H60" t="s">
        <v>57</v>
      </c>
      <c r="I60">
        <v>71221.922999999995</v>
      </c>
      <c r="J60">
        <f t="shared" si="2"/>
        <v>63.081283379832598</v>
      </c>
      <c r="K60">
        <v>73817.337</v>
      </c>
      <c r="L60" s="5">
        <f t="shared" si="3"/>
        <v>65.380042513617639</v>
      </c>
    </row>
    <row r="61" spans="2:12" x14ac:dyDescent="0.25">
      <c r="B61" s="93"/>
      <c r="C61" s="2" t="s">
        <v>570</v>
      </c>
      <c r="D61" s="2">
        <v>709.52008477997583</v>
      </c>
      <c r="E61" s="14" t="s">
        <v>450</v>
      </c>
      <c r="G61" s="6" t="s">
        <v>61</v>
      </c>
      <c r="H61" t="s">
        <v>57</v>
      </c>
      <c r="I61">
        <v>996145.26</v>
      </c>
      <c r="J61">
        <f t="shared" si="2"/>
        <v>882.28622293078251</v>
      </c>
      <c r="K61">
        <v>1020758.5</v>
      </c>
      <c r="L61" s="5">
        <f t="shared" si="3"/>
        <v>904.08617864576422</v>
      </c>
    </row>
    <row r="62" spans="2:12" x14ac:dyDescent="0.25">
      <c r="B62" s="6"/>
      <c r="E62" s="5"/>
      <c r="G62" s="6" t="s">
        <v>62</v>
      </c>
      <c r="H62" t="s">
        <v>63</v>
      </c>
      <c r="I62">
        <v>4429.6383999999998</v>
      </c>
      <c r="J62">
        <f t="shared" si="2"/>
        <v>3.923332359062929</v>
      </c>
      <c r="K62">
        <v>4735.4364999999998</v>
      </c>
      <c r="L62" s="5">
        <f t="shared" si="3"/>
        <v>4.1941778486338075</v>
      </c>
    </row>
    <row r="63" spans="2:12" x14ac:dyDescent="0.25">
      <c r="B63" s="76" t="s">
        <v>13</v>
      </c>
      <c r="C63" s="77"/>
      <c r="D63" s="77"/>
      <c r="E63" s="78"/>
      <c r="G63" s="6" t="s">
        <v>64</v>
      </c>
      <c r="H63" t="s">
        <v>65</v>
      </c>
      <c r="I63">
        <v>3050.473</v>
      </c>
      <c r="J63">
        <f t="shared" si="2"/>
        <v>2.701805057349099</v>
      </c>
      <c r="K63">
        <v>3102.1668</v>
      </c>
      <c r="L63" s="5">
        <f t="shared" si="3"/>
        <v>2.7475902750099643</v>
      </c>
    </row>
    <row r="64" spans="2:12" x14ac:dyDescent="0.25">
      <c r="B64" s="6"/>
      <c r="C64" s="3" t="s">
        <v>496</v>
      </c>
      <c r="D64">
        <v>1324.9674785807204</v>
      </c>
      <c r="E64" s="5" t="s">
        <v>27</v>
      </c>
      <c r="G64" s="6" t="s">
        <v>66</v>
      </c>
      <c r="H64" t="s">
        <v>67</v>
      </c>
      <c r="I64">
        <v>22124.737000000001</v>
      </c>
      <c r="J64">
        <f t="shared" si="2"/>
        <v>19.595887693193394</v>
      </c>
      <c r="K64">
        <v>24721.484</v>
      </c>
      <c r="L64" s="5">
        <f t="shared" si="3"/>
        <v>21.895827465568399</v>
      </c>
    </row>
    <row r="65" spans="2:12" ht="15.75" thickBot="1" x14ac:dyDescent="0.3">
      <c r="B65" s="6"/>
      <c r="C65" s="3" t="s">
        <v>77</v>
      </c>
      <c r="D65">
        <v>132.49674785807204</v>
      </c>
      <c r="E65" s="5" t="s">
        <v>195</v>
      </c>
      <c r="G65" s="7" t="s">
        <v>68</v>
      </c>
      <c r="H65" s="8" t="s">
        <v>69</v>
      </c>
      <c r="I65" s="8">
        <v>831.11203</v>
      </c>
      <c r="J65" s="8">
        <f t="shared" si="2"/>
        <v>0.73611623045923569</v>
      </c>
      <c r="K65" s="8">
        <v>941.32390999999996</v>
      </c>
      <c r="L65" s="9">
        <f t="shared" si="3"/>
        <v>0.83373093308533719</v>
      </c>
    </row>
    <row r="66" spans="2:12" x14ac:dyDescent="0.25">
      <c r="B66" s="6"/>
      <c r="C66" t="s">
        <v>622</v>
      </c>
      <c r="D66">
        <v>164.95845108329971</v>
      </c>
      <c r="E66" s="5" t="s">
        <v>23</v>
      </c>
    </row>
    <row r="67" spans="2:12" ht="15.75" thickBot="1" x14ac:dyDescent="0.3">
      <c r="B67" s="7"/>
      <c r="C67" s="8" t="s">
        <v>620</v>
      </c>
      <c r="D67" s="8">
        <v>9313</v>
      </c>
      <c r="E67" s="9" t="s">
        <v>23</v>
      </c>
    </row>
    <row r="69" spans="2:12" ht="15.75" thickBot="1" x14ac:dyDescent="0.3"/>
    <row r="70" spans="2:12" x14ac:dyDescent="0.25">
      <c r="B70" s="82" t="s">
        <v>111</v>
      </c>
      <c r="C70" s="83"/>
      <c r="D70" s="83"/>
      <c r="E70" s="83"/>
      <c r="F70" s="84"/>
    </row>
    <row r="71" spans="2:12" x14ac:dyDescent="0.25">
      <c r="B71" s="102" t="s">
        <v>627</v>
      </c>
      <c r="C71" s="103"/>
      <c r="D71" s="39"/>
      <c r="E71" s="39"/>
      <c r="F71" s="14"/>
    </row>
    <row r="72" spans="2:12" x14ac:dyDescent="0.25">
      <c r="B72" s="6" t="s">
        <v>123</v>
      </c>
      <c r="C72" s="18" t="s">
        <v>7</v>
      </c>
      <c r="D72" t="s">
        <v>120</v>
      </c>
      <c r="E72" t="s">
        <v>119</v>
      </c>
      <c r="F72" s="5" t="s">
        <v>12</v>
      </c>
    </row>
    <row r="73" spans="2:12" x14ac:dyDescent="0.25">
      <c r="B73" s="6" t="s">
        <v>120</v>
      </c>
      <c r="C73" s="38" t="s">
        <v>628</v>
      </c>
      <c r="D73">
        <v>1.3</v>
      </c>
      <c r="E73">
        <v>0</v>
      </c>
      <c r="F73" s="5" t="s">
        <v>589</v>
      </c>
    </row>
    <row r="74" spans="2:12" x14ac:dyDescent="0.25">
      <c r="B74" s="6" t="s">
        <v>119</v>
      </c>
      <c r="C74" s="38" t="s">
        <v>561</v>
      </c>
      <c r="D74">
        <v>0</v>
      </c>
      <c r="E74" s="40">
        <v>263.54399999999998</v>
      </c>
      <c r="F74" s="43" t="s">
        <v>23</v>
      </c>
    </row>
    <row r="75" spans="2:12" x14ac:dyDescent="0.25">
      <c r="B75" s="6" t="s">
        <v>119</v>
      </c>
      <c r="C75" s="38" t="s">
        <v>562</v>
      </c>
      <c r="D75">
        <v>0</v>
      </c>
      <c r="E75" s="40">
        <v>131.77199999999999</v>
      </c>
      <c r="F75" s="43" t="s">
        <v>23</v>
      </c>
    </row>
    <row r="76" spans="2:12" x14ac:dyDescent="0.25">
      <c r="B76" s="6" t="s">
        <v>119</v>
      </c>
      <c r="C76" s="38" t="s">
        <v>563</v>
      </c>
      <c r="D76">
        <v>0</v>
      </c>
      <c r="E76" s="40">
        <v>37.555019999999999</v>
      </c>
      <c r="F76" s="43" t="s">
        <v>23</v>
      </c>
    </row>
    <row r="77" spans="2:12" x14ac:dyDescent="0.25">
      <c r="B77" s="6" t="s">
        <v>118</v>
      </c>
      <c r="C77" t="s">
        <v>566</v>
      </c>
      <c r="D77">
        <v>103.8350513614139</v>
      </c>
      <c r="E77" s="40">
        <v>5.0964686385861047</v>
      </c>
      <c r="F77" s="5" t="s">
        <v>23</v>
      </c>
    </row>
    <row r="78" spans="2:12" x14ac:dyDescent="0.25">
      <c r="B78" s="6" t="s">
        <v>118</v>
      </c>
      <c r="C78" t="s">
        <v>567</v>
      </c>
      <c r="D78">
        <v>5.8256170098237124E-6</v>
      </c>
      <c r="E78">
        <v>2.8593499017628859E-7</v>
      </c>
      <c r="F78" s="5" t="s">
        <v>171</v>
      </c>
    </row>
    <row r="79" spans="2:12" x14ac:dyDescent="0.25">
      <c r="B79" s="6" t="s">
        <v>118</v>
      </c>
      <c r="C79" t="s">
        <v>568</v>
      </c>
      <c r="D79">
        <v>3299.1690216659936</v>
      </c>
      <c r="E79">
        <v>161.93097833400623</v>
      </c>
      <c r="F79" s="5" t="s">
        <v>23</v>
      </c>
    </row>
    <row r="80" spans="2:12" x14ac:dyDescent="0.25">
      <c r="B80" s="6" t="s">
        <v>118</v>
      </c>
      <c r="C80" t="s">
        <v>524</v>
      </c>
      <c r="D80">
        <v>103.8350513614139</v>
      </c>
      <c r="E80" s="40">
        <v>5.0964686385861047</v>
      </c>
      <c r="F80" s="5" t="s">
        <v>23</v>
      </c>
    </row>
    <row r="81" spans="2:6" x14ac:dyDescent="0.25">
      <c r="B81" s="6" t="s">
        <v>118</v>
      </c>
      <c r="C81" t="s">
        <v>571</v>
      </c>
      <c r="D81">
        <v>123.88445924729736</v>
      </c>
      <c r="E81">
        <v>6.0805407527026434</v>
      </c>
      <c r="F81" s="5" t="s">
        <v>23</v>
      </c>
    </row>
    <row r="82" spans="2:6" x14ac:dyDescent="0.25">
      <c r="B82" s="6" t="s">
        <v>118</v>
      </c>
      <c r="C82" t="s">
        <v>80</v>
      </c>
      <c r="D82">
        <v>3299.1690216659936</v>
      </c>
      <c r="E82">
        <v>161.93097833400623</v>
      </c>
      <c r="F82" s="5" t="s">
        <v>23</v>
      </c>
    </row>
    <row r="83" spans="2:6" x14ac:dyDescent="0.25">
      <c r="B83" s="6" t="s">
        <v>118</v>
      </c>
      <c r="C83" t="s">
        <v>569</v>
      </c>
      <c r="D83">
        <v>6466.5037792132061</v>
      </c>
      <c r="E83">
        <v>317.39122078679418</v>
      </c>
      <c r="F83" s="5" t="s">
        <v>450</v>
      </c>
    </row>
    <row r="84" spans="2:6" x14ac:dyDescent="0.25">
      <c r="B84" s="6" t="s">
        <v>118</v>
      </c>
      <c r="C84" t="s">
        <v>570</v>
      </c>
      <c r="D84">
        <v>6466.5037792132061</v>
      </c>
      <c r="E84">
        <v>317.39122078679418</v>
      </c>
      <c r="F84" s="5" t="s">
        <v>450</v>
      </c>
    </row>
    <row r="85" spans="2:6" x14ac:dyDescent="0.25">
      <c r="B85" s="6" t="s">
        <v>119</v>
      </c>
      <c r="C85" t="s">
        <v>572</v>
      </c>
      <c r="D85">
        <v>0</v>
      </c>
      <c r="E85">
        <v>25.2563</v>
      </c>
      <c r="F85" s="5" t="s">
        <v>23</v>
      </c>
    </row>
    <row r="86" spans="2:6" x14ac:dyDescent="0.25">
      <c r="B86" s="6" t="s">
        <v>119</v>
      </c>
      <c r="C86" s="40" t="s">
        <v>530</v>
      </c>
      <c r="D86">
        <v>0</v>
      </c>
      <c r="E86">
        <v>2.6</v>
      </c>
      <c r="F86" s="5" t="s">
        <v>171</v>
      </c>
    </row>
    <row r="87" spans="2:6" x14ac:dyDescent="0.25">
      <c r="B87" s="6"/>
      <c r="F87" s="5"/>
    </row>
    <row r="88" spans="2:6" x14ac:dyDescent="0.25">
      <c r="B88" s="76" t="s">
        <v>13</v>
      </c>
      <c r="C88" s="77"/>
      <c r="D88" s="77"/>
      <c r="E88" s="77"/>
      <c r="F88" s="78"/>
    </row>
    <row r="89" spans="2:6" x14ac:dyDescent="0.25">
      <c r="B89" s="4" t="s">
        <v>118</v>
      </c>
      <c r="C89" s="3" t="s">
        <v>496</v>
      </c>
      <c r="D89">
        <v>1324.9674785807204</v>
      </c>
      <c r="E89" s="3">
        <v>65.032521419279604</v>
      </c>
      <c r="F89" s="5" t="s">
        <v>27</v>
      </c>
    </row>
    <row r="90" spans="2:6" x14ac:dyDescent="0.25">
      <c r="B90" s="4" t="s">
        <v>118</v>
      </c>
      <c r="C90" s="3" t="s">
        <v>77</v>
      </c>
      <c r="D90">
        <v>132.49674785807204</v>
      </c>
      <c r="E90" s="3">
        <v>6.5032521419279607</v>
      </c>
      <c r="F90" s="5" t="s">
        <v>195</v>
      </c>
    </row>
    <row r="91" spans="2:6" x14ac:dyDescent="0.25">
      <c r="B91" s="4" t="s">
        <v>119</v>
      </c>
      <c r="C91" t="s">
        <v>621</v>
      </c>
      <c r="D91">
        <v>0</v>
      </c>
      <c r="E91">
        <v>9.3130000000000006</v>
      </c>
      <c r="F91" s="5" t="s">
        <v>23</v>
      </c>
    </row>
    <row r="92" spans="2:6" x14ac:dyDescent="0.25">
      <c r="B92" s="4" t="s">
        <v>118</v>
      </c>
      <c r="C92" t="s">
        <v>622</v>
      </c>
      <c r="D92">
        <v>164.95845108329971</v>
      </c>
      <c r="E92">
        <v>8.0965489167003106</v>
      </c>
      <c r="F92" s="5" t="s">
        <v>23</v>
      </c>
    </row>
    <row r="93" spans="2:6" x14ac:dyDescent="0.25">
      <c r="B93" s="4" t="s">
        <v>119</v>
      </c>
      <c r="C93" t="s">
        <v>626</v>
      </c>
      <c r="D93">
        <v>0</v>
      </c>
      <c r="E93">
        <v>97.995000000000005</v>
      </c>
      <c r="F93" s="5" t="s">
        <v>23</v>
      </c>
    </row>
    <row r="94" spans="2:6" x14ac:dyDescent="0.25">
      <c r="B94" s="4" t="s">
        <v>119</v>
      </c>
      <c r="C94" t="s">
        <v>625</v>
      </c>
      <c r="D94">
        <v>0</v>
      </c>
      <c r="E94">
        <v>1.7236000000000001E-6</v>
      </c>
      <c r="F94" s="5" t="s">
        <v>23</v>
      </c>
    </row>
    <row r="95" spans="2:6" x14ac:dyDescent="0.25">
      <c r="B95" s="4" t="s">
        <v>119</v>
      </c>
      <c r="C95" t="s">
        <v>623</v>
      </c>
      <c r="D95">
        <v>0</v>
      </c>
      <c r="E95">
        <v>8.8960000000000008</v>
      </c>
      <c r="F95" s="5" t="s">
        <v>23</v>
      </c>
    </row>
    <row r="96" spans="2:6" x14ac:dyDescent="0.25">
      <c r="B96" s="4" t="s">
        <v>119</v>
      </c>
      <c r="C96" t="s">
        <v>624</v>
      </c>
      <c r="D96">
        <v>0</v>
      </c>
      <c r="E96">
        <v>42.395000000000003</v>
      </c>
      <c r="F96" s="5" t="s">
        <v>23</v>
      </c>
    </row>
    <row r="97" spans="2:105" ht="15.75" thickBot="1" x14ac:dyDescent="0.3">
      <c r="B97" s="51" t="s">
        <v>120</v>
      </c>
      <c r="C97" s="8" t="s">
        <v>620</v>
      </c>
      <c r="D97" s="8">
        <v>9313</v>
      </c>
      <c r="E97" s="8">
        <v>0</v>
      </c>
      <c r="F97" s="9" t="s">
        <v>23</v>
      </c>
    </row>
    <row r="99" spans="2:105" ht="15.75" thickBot="1" x14ac:dyDescent="0.3"/>
    <row r="100" spans="2:105" x14ac:dyDescent="0.25">
      <c r="C100" s="96" t="s">
        <v>573</v>
      </c>
      <c r="D100" s="97"/>
      <c r="E100" s="98"/>
      <c r="G100" s="96" t="s">
        <v>629</v>
      </c>
      <c r="H100" s="97"/>
      <c r="I100" s="98"/>
      <c r="K100" s="96" t="s">
        <v>574</v>
      </c>
      <c r="L100" s="97"/>
      <c r="M100" s="98"/>
      <c r="O100" s="96" t="s">
        <v>575</v>
      </c>
      <c r="P100" s="97"/>
      <c r="Q100" s="98"/>
    </row>
    <row r="101" spans="2:105" x14ac:dyDescent="0.25">
      <c r="C101" s="76" t="s">
        <v>7</v>
      </c>
      <c r="D101" s="77"/>
      <c r="E101" s="78"/>
      <c r="G101" s="76" t="s">
        <v>7</v>
      </c>
      <c r="H101" s="77"/>
      <c r="I101" s="78"/>
      <c r="K101" s="76" t="s">
        <v>7</v>
      </c>
      <c r="L101" s="77"/>
      <c r="M101" s="78"/>
      <c r="O101" s="76" t="s">
        <v>7</v>
      </c>
      <c r="P101" s="77"/>
      <c r="Q101" s="78"/>
      <c r="CM101" s="18"/>
      <c r="CN101" s="18"/>
      <c r="CO101" s="18"/>
      <c r="CQ101" s="18"/>
      <c r="CR101" s="18"/>
      <c r="CS101" s="18"/>
      <c r="CU101" s="18"/>
      <c r="CV101" s="18"/>
      <c r="CW101" s="18"/>
      <c r="CY101" s="18"/>
      <c r="CZ101" s="18"/>
      <c r="DA101" s="18"/>
    </row>
    <row r="102" spans="2:105" x14ac:dyDescent="0.25">
      <c r="C102" s="6" t="s">
        <v>10</v>
      </c>
      <c r="D102" t="s">
        <v>11</v>
      </c>
      <c r="E102" s="5" t="s">
        <v>12</v>
      </c>
      <c r="G102" s="6" t="s">
        <v>10</v>
      </c>
      <c r="H102" t="s">
        <v>11</v>
      </c>
      <c r="I102" s="5" t="s">
        <v>12</v>
      </c>
      <c r="K102" s="6" t="s">
        <v>10</v>
      </c>
      <c r="L102" t="s">
        <v>11</v>
      </c>
      <c r="M102" s="5" t="s">
        <v>12</v>
      </c>
      <c r="O102" s="6" t="s">
        <v>10</v>
      </c>
      <c r="P102" t="s">
        <v>11</v>
      </c>
      <c r="Q102" s="5" t="s">
        <v>12</v>
      </c>
    </row>
    <row r="103" spans="2:105" x14ac:dyDescent="0.25">
      <c r="C103" s="6" t="s">
        <v>577</v>
      </c>
      <c r="D103">
        <v>0.17</v>
      </c>
      <c r="E103" s="5" t="s">
        <v>23</v>
      </c>
      <c r="G103" s="6" t="s">
        <v>590</v>
      </c>
      <c r="H103">
        <v>2031.28</v>
      </c>
      <c r="I103" s="5" t="s">
        <v>23</v>
      </c>
      <c r="K103" s="6" t="s">
        <v>613</v>
      </c>
      <c r="L103">
        <v>9.0999999999999998E-2</v>
      </c>
      <c r="M103" s="5" t="s">
        <v>23</v>
      </c>
      <c r="O103" s="6" t="s">
        <v>613</v>
      </c>
      <c r="P103">
        <v>3.1E-2</v>
      </c>
      <c r="Q103" s="5" t="s">
        <v>23</v>
      </c>
    </row>
    <row r="104" spans="2:105" x14ac:dyDescent="0.25">
      <c r="C104" s="6" t="s">
        <v>576</v>
      </c>
      <c r="D104">
        <v>0.25</v>
      </c>
      <c r="E104" s="5" t="s">
        <v>23</v>
      </c>
      <c r="G104" s="6" t="s">
        <v>581</v>
      </c>
      <c r="H104">
        <v>956.61</v>
      </c>
      <c r="I104" s="5" t="s">
        <v>23</v>
      </c>
      <c r="K104" s="6" t="s">
        <v>614</v>
      </c>
      <c r="L104" s="13">
        <v>1.4000000000000001E-10</v>
      </c>
      <c r="M104" s="5" t="s">
        <v>88</v>
      </c>
      <c r="O104" s="6" t="s">
        <v>244</v>
      </c>
      <c r="P104">
        <v>0.97</v>
      </c>
      <c r="Q104" s="5" t="s">
        <v>23</v>
      </c>
    </row>
    <row r="105" spans="2:105" x14ac:dyDescent="0.25">
      <c r="C105" s="6" t="s">
        <v>79</v>
      </c>
      <c r="D105">
        <v>0.57999999999999996</v>
      </c>
      <c r="E105" s="5" t="s">
        <v>23</v>
      </c>
      <c r="G105" s="6" t="s">
        <v>591</v>
      </c>
      <c r="H105">
        <v>61.84</v>
      </c>
      <c r="I105" s="5" t="s">
        <v>23</v>
      </c>
      <c r="K105" s="6" t="s">
        <v>415</v>
      </c>
      <c r="L105">
        <v>0.91</v>
      </c>
      <c r="M105" s="5" t="s">
        <v>23</v>
      </c>
      <c r="O105" s="6" t="s">
        <v>418</v>
      </c>
      <c r="P105">
        <v>3.1E-2</v>
      </c>
      <c r="Q105" s="5" t="s">
        <v>23</v>
      </c>
    </row>
    <row r="106" spans="2:105" x14ac:dyDescent="0.25">
      <c r="C106" s="6" t="s">
        <v>566</v>
      </c>
      <c r="D106">
        <v>0.17</v>
      </c>
      <c r="E106" s="5" t="s">
        <v>23</v>
      </c>
      <c r="G106" s="6" t="s">
        <v>576</v>
      </c>
      <c r="H106">
        <f>123.051+358.78</f>
        <v>481.83099999999996</v>
      </c>
      <c r="I106" s="5" t="s">
        <v>23</v>
      </c>
      <c r="K106" s="6" t="s">
        <v>418</v>
      </c>
      <c r="L106">
        <v>9.0999999999999998E-2</v>
      </c>
      <c r="M106" s="5" t="s">
        <v>23</v>
      </c>
      <c r="O106" s="6" t="s">
        <v>245</v>
      </c>
      <c r="P106" s="13">
        <v>4.3999999999999998E-10</v>
      </c>
      <c r="Q106" s="5" t="s">
        <v>88</v>
      </c>
    </row>
    <row r="107" spans="2:105" x14ac:dyDescent="0.25">
      <c r="C107" s="6" t="s">
        <v>567</v>
      </c>
      <c r="D107">
        <f>3.8*10^(-10)</f>
        <v>3.7999999999999998E-10</v>
      </c>
      <c r="E107" s="5" t="s">
        <v>88</v>
      </c>
      <c r="G107" s="6" t="s">
        <v>583</v>
      </c>
      <c r="H107">
        <v>3.75</v>
      </c>
      <c r="I107" s="5" t="s">
        <v>23</v>
      </c>
      <c r="K107" s="6" t="s">
        <v>615</v>
      </c>
      <c r="L107">
        <v>0.91</v>
      </c>
      <c r="M107" s="5" t="s">
        <v>23</v>
      </c>
      <c r="O107" s="6" t="s">
        <v>618</v>
      </c>
      <c r="P107">
        <v>0.97</v>
      </c>
      <c r="Q107" s="5" t="s">
        <v>23</v>
      </c>
    </row>
    <row r="108" spans="2:105" x14ac:dyDescent="0.25">
      <c r="C108" s="6" t="s">
        <v>578</v>
      </c>
      <c r="D108">
        <v>0.25</v>
      </c>
      <c r="E108" s="5" t="s">
        <v>23</v>
      </c>
      <c r="G108" s="6" t="s">
        <v>582</v>
      </c>
      <c r="H108">
        <v>297.29000000000002</v>
      </c>
      <c r="I108" s="5" t="s">
        <v>23</v>
      </c>
      <c r="K108" s="6" t="s">
        <v>616</v>
      </c>
      <c r="L108" s="13">
        <v>6.7000000000000001E-11</v>
      </c>
      <c r="M108" s="5" t="s">
        <v>88</v>
      </c>
      <c r="O108" s="6" t="s">
        <v>616</v>
      </c>
      <c r="P108" s="13">
        <v>2.3000000000000001E-11</v>
      </c>
      <c r="Q108" s="5" t="s">
        <v>88</v>
      </c>
    </row>
    <row r="109" spans="2:105" x14ac:dyDescent="0.25">
      <c r="C109" s="6" t="s">
        <v>579</v>
      </c>
      <c r="D109">
        <v>0.56999999999999995</v>
      </c>
      <c r="E109" s="5" t="s">
        <v>23</v>
      </c>
      <c r="G109" s="6" t="s">
        <v>592</v>
      </c>
      <c r="H109">
        <v>240.98</v>
      </c>
      <c r="I109" s="5" t="s">
        <v>23</v>
      </c>
      <c r="K109" s="6" t="s">
        <v>569</v>
      </c>
      <c r="L109">
        <v>0.15</v>
      </c>
      <c r="M109" s="5" t="s">
        <v>450</v>
      </c>
      <c r="O109" s="6" t="s">
        <v>569</v>
      </c>
      <c r="P109">
        <v>0.15</v>
      </c>
      <c r="Q109" s="5" t="s">
        <v>450</v>
      </c>
    </row>
    <row r="110" spans="2:105" x14ac:dyDescent="0.25">
      <c r="C110" s="6" t="s">
        <v>580</v>
      </c>
      <c r="D110">
        <f>1.3*10^(-10)</f>
        <v>1.3000000000000002E-10</v>
      </c>
      <c r="E110" s="5" t="s">
        <v>88</v>
      </c>
      <c r="G110" s="6" t="s">
        <v>524</v>
      </c>
      <c r="H110">
        <f>8.91928+27.69</f>
        <v>36.609279999999998</v>
      </c>
      <c r="I110" s="5" t="s">
        <v>23</v>
      </c>
      <c r="K110" s="6" t="s">
        <v>570</v>
      </c>
      <c r="L110">
        <v>0.15</v>
      </c>
      <c r="M110" s="5" t="s">
        <v>450</v>
      </c>
      <c r="O110" s="6" t="s">
        <v>570</v>
      </c>
      <c r="P110" s="32">
        <v>0.15</v>
      </c>
      <c r="Q110" s="5" t="s">
        <v>450</v>
      </c>
    </row>
    <row r="111" spans="2:105" x14ac:dyDescent="0.25">
      <c r="C111" s="6" t="s">
        <v>569</v>
      </c>
      <c r="D111">
        <v>0.14499999999999999</v>
      </c>
      <c r="E111" s="5" t="s">
        <v>450</v>
      </c>
      <c r="G111" s="6" t="s">
        <v>593</v>
      </c>
      <c r="H111">
        <v>4.9000000000000004</v>
      </c>
      <c r="I111" s="5" t="s">
        <v>23</v>
      </c>
      <c r="K111" s="6"/>
      <c r="M111" s="5"/>
      <c r="O111" s="6"/>
      <c r="P111" s="13"/>
      <c r="Q111" s="5"/>
    </row>
    <row r="112" spans="2:105" x14ac:dyDescent="0.25">
      <c r="C112" s="6" t="s">
        <v>570</v>
      </c>
      <c r="D112">
        <v>0.14499999999999999</v>
      </c>
      <c r="E112" s="5" t="s">
        <v>450</v>
      </c>
      <c r="G112" s="6" t="s">
        <v>77</v>
      </c>
      <c r="H112">
        <v>60</v>
      </c>
      <c r="I112" s="5" t="s">
        <v>483</v>
      </c>
      <c r="K112" s="76" t="s">
        <v>587</v>
      </c>
      <c r="L112" s="77"/>
      <c r="M112" s="78"/>
      <c r="O112" s="76" t="s">
        <v>587</v>
      </c>
      <c r="P112" s="77"/>
      <c r="Q112" s="78"/>
    </row>
    <row r="113" spans="2:17" ht="15.75" thickBot="1" x14ac:dyDescent="0.3">
      <c r="C113" s="6"/>
      <c r="E113" s="5"/>
      <c r="G113" s="6" t="s">
        <v>488</v>
      </c>
      <c r="H113">
        <v>42.32</v>
      </c>
      <c r="I113" s="5" t="s">
        <v>23</v>
      </c>
      <c r="K113" s="23" t="s">
        <v>617</v>
      </c>
      <c r="L113" s="24">
        <v>1</v>
      </c>
      <c r="M113" s="25" t="s">
        <v>23</v>
      </c>
      <c r="O113" s="23" t="s">
        <v>563</v>
      </c>
      <c r="P113" s="24">
        <v>1</v>
      </c>
      <c r="Q113" s="25" t="s">
        <v>23</v>
      </c>
    </row>
    <row r="114" spans="2:17" x14ac:dyDescent="0.25">
      <c r="C114" s="99" t="s">
        <v>182</v>
      </c>
      <c r="D114" s="100"/>
      <c r="E114" s="101"/>
      <c r="G114" s="6" t="s">
        <v>79</v>
      </c>
      <c r="H114">
        <v>519.65</v>
      </c>
      <c r="I114" s="5" t="s">
        <v>23</v>
      </c>
    </row>
    <row r="115" spans="2:17" ht="15.75" thickBot="1" x14ac:dyDescent="0.3">
      <c r="C115" s="53" t="s">
        <v>561</v>
      </c>
      <c r="D115" s="54">
        <v>1</v>
      </c>
      <c r="E115" s="55" t="s">
        <v>23</v>
      </c>
      <c r="G115" s="6" t="s">
        <v>233</v>
      </c>
      <c r="H115">
        <v>25.33</v>
      </c>
      <c r="I115" s="5" t="s">
        <v>23</v>
      </c>
    </row>
    <row r="116" spans="2:17" x14ac:dyDescent="0.25">
      <c r="C116" s="50"/>
      <c r="D116" s="32"/>
      <c r="E116" s="32"/>
      <c r="G116" s="6"/>
      <c r="I116" s="5"/>
    </row>
    <row r="117" spans="2:17" x14ac:dyDescent="0.25">
      <c r="C117" s="50"/>
      <c r="D117" s="32"/>
      <c r="E117" s="32"/>
      <c r="G117" s="76" t="s">
        <v>587</v>
      </c>
      <c r="H117" s="77"/>
      <c r="I117" s="78"/>
      <c r="O117" s="18"/>
      <c r="P117" s="18"/>
      <c r="Q117" s="18"/>
    </row>
    <row r="118" spans="2:17" ht="15.75" thickBot="1" x14ac:dyDescent="0.3">
      <c r="C118" s="50"/>
      <c r="D118" s="32"/>
      <c r="E118" s="32"/>
      <c r="G118" s="23" t="s">
        <v>588</v>
      </c>
      <c r="H118" s="24">
        <v>1</v>
      </c>
      <c r="I118" s="25" t="s">
        <v>589</v>
      </c>
      <c r="O118" s="27"/>
      <c r="P118" s="27"/>
      <c r="Q118" s="27"/>
    </row>
    <row r="119" spans="2:17" x14ac:dyDescent="0.25">
      <c r="C119" s="50"/>
      <c r="D119" s="32"/>
      <c r="E119" s="32"/>
    </row>
    <row r="120" spans="2:17" x14ac:dyDescent="0.25">
      <c r="B120" t="s">
        <v>84</v>
      </c>
      <c r="C120" t="s">
        <v>584</v>
      </c>
      <c r="H120">
        <f>H115+H114+H113+SUM(H103:H111)</f>
        <v>4702.3902799999996</v>
      </c>
      <c r="I120">
        <f>H120*1.3</f>
        <v>6113.1073639999995</v>
      </c>
    </row>
    <row r="121" spans="2:17" x14ac:dyDescent="0.25">
      <c r="C121" t="s">
        <v>610</v>
      </c>
    </row>
    <row r="122" spans="2:17" x14ac:dyDescent="0.25">
      <c r="C122" t="s">
        <v>749</v>
      </c>
    </row>
    <row r="123" spans="2:17" x14ac:dyDescent="0.25">
      <c r="C123" t="s">
        <v>669</v>
      </c>
    </row>
  </sheetData>
  <mergeCells count="43">
    <mergeCell ref="B23:B28"/>
    <mergeCell ref="B2:C2"/>
    <mergeCell ref="B6:E6"/>
    <mergeCell ref="G6:L6"/>
    <mergeCell ref="B7:D7"/>
    <mergeCell ref="G7:I7"/>
    <mergeCell ref="B8:D8"/>
    <mergeCell ref="G8:I8"/>
    <mergeCell ref="C3:C4"/>
    <mergeCell ref="H9:L9"/>
    <mergeCell ref="B10:E10"/>
    <mergeCell ref="I10:J10"/>
    <mergeCell ref="K10:L10"/>
    <mergeCell ref="B12:B22"/>
    <mergeCell ref="B56:B61"/>
    <mergeCell ref="B31:E31"/>
    <mergeCell ref="B42:E42"/>
    <mergeCell ref="G42:L42"/>
    <mergeCell ref="B43:D43"/>
    <mergeCell ref="G43:I43"/>
    <mergeCell ref="B44:D44"/>
    <mergeCell ref="G44:I44"/>
    <mergeCell ref="H45:L45"/>
    <mergeCell ref="B46:E46"/>
    <mergeCell ref="I46:J46"/>
    <mergeCell ref="K46:L46"/>
    <mergeCell ref="B48:B55"/>
    <mergeCell ref="B63:E63"/>
    <mergeCell ref="B70:F70"/>
    <mergeCell ref="B71:C71"/>
    <mergeCell ref="C100:E100"/>
    <mergeCell ref="G100:I100"/>
    <mergeCell ref="K100:M100"/>
    <mergeCell ref="B88:F88"/>
    <mergeCell ref="O100:Q100"/>
    <mergeCell ref="G117:I117"/>
    <mergeCell ref="C114:E114"/>
    <mergeCell ref="C101:E101"/>
    <mergeCell ref="G101:I101"/>
    <mergeCell ref="K101:M101"/>
    <mergeCell ref="O101:Q101"/>
    <mergeCell ref="K112:M112"/>
    <mergeCell ref="O112:Q1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D7C68-8425-4D10-8556-6DC0F1405F30}">
  <dimension ref="B2:DA111"/>
  <sheetViews>
    <sheetView zoomScale="70" zoomScaleNormal="70" workbookViewId="0">
      <selection activeCell="J47" sqref="J47:J64"/>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 min="20" max="20" width="12.140625" customWidth="1"/>
    <col min="28" max="28" width="12" customWidth="1"/>
    <col min="32" max="32" width="10.140625" customWidth="1"/>
    <col min="40" max="40" width="14" customWidth="1"/>
    <col min="44" max="44" width="12.42578125" customWidth="1"/>
    <col min="48" max="48" width="14" customWidth="1"/>
    <col min="52" max="52" width="11.85546875" customWidth="1"/>
    <col min="56" max="56" width="11.140625" customWidth="1"/>
    <col min="60" max="60" width="12.140625" customWidth="1"/>
  </cols>
  <sheetData>
    <row r="2" spans="2:12" x14ac:dyDescent="0.25">
      <c r="B2" s="85" t="s">
        <v>2</v>
      </c>
      <c r="C2" s="85"/>
      <c r="D2" s="1" t="s">
        <v>612</v>
      </c>
    </row>
    <row r="3" spans="2:12" x14ac:dyDescent="0.25">
      <c r="C3" s="85" t="s">
        <v>611</v>
      </c>
      <c r="D3" s="1" t="s">
        <v>681</v>
      </c>
    </row>
    <row r="4" spans="2:12" x14ac:dyDescent="0.25">
      <c r="C4" s="85"/>
      <c r="D4" s="1" t="s">
        <v>682</v>
      </c>
    </row>
    <row r="5" spans="2:12" x14ac:dyDescent="0.25">
      <c r="C5" s="85"/>
      <c r="D5" s="1" t="s">
        <v>680</v>
      </c>
    </row>
    <row r="6" spans="2:12" ht="15.75" thickBot="1" x14ac:dyDescent="0.3"/>
    <row r="7" spans="2:12" x14ac:dyDescent="0.25">
      <c r="B7" s="86" t="s">
        <v>0</v>
      </c>
      <c r="C7" s="87"/>
      <c r="D7" s="87"/>
      <c r="E7" s="88"/>
      <c r="G7" s="86" t="s">
        <v>16</v>
      </c>
      <c r="H7" s="87"/>
      <c r="I7" s="87"/>
      <c r="J7" s="87"/>
      <c r="K7" s="87"/>
      <c r="L7" s="88"/>
    </row>
    <row r="8" spans="2:12" x14ac:dyDescent="0.25">
      <c r="B8" s="74" t="s">
        <v>6</v>
      </c>
      <c r="C8" s="75"/>
      <c r="D8" s="75"/>
      <c r="E8" s="5" t="s">
        <v>559</v>
      </c>
      <c r="G8" s="74" t="s">
        <v>36</v>
      </c>
      <c r="H8" s="75"/>
      <c r="I8" s="75"/>
      <c r="J8">
        <v>1129.05</v>
      </c>
      <c r="L8" s="5"/>
    </row>
    <row r="9" spans="2:12" x14ac:dyDescent="0.25">
      <c r="B9" s="74" t="s">
        <v>5</v>
      </c>
      <c r="C9" s="75"/>
      <c r="D9" s="75"/>
      <c r="E9" s="5" t="s">
        <v>619</v>
      </c>
      <c r="G9" s="74" t="s">
        <v>5</v>
      </c>
      <c r="H9" s="75"/>
      <c r="I9" s="75"/>
      <c r="J9">
        <v>1300</v>
      </c>
      <c r="L9" s="5"/>
    </row>
    <row r="10" spans="2:12" x14ac:dyDescent="0.25">
      <c r="B10" s="20"/>
      <c r="C10" s="21"/>
      <c r="D10" s="21"/>
      <c r="E10" s="12"/>
      <c r="G10" s="10" t="s">
        <v>19</v>
      </c>
      <c r="H10" s="104" t="s">
        <v>21</v>
      </c>
      <c r="I10" s="104"/>
      <c r="J10" s="104"/>
      <c r="K10" s="104"/>
      <c r="L10" s="105"/>
    </row>
    <row r="11" spans="2:12" x14ac:dyDescent="0.25">
      <c r="B11" s="76" t="s">
        <v>7</v>
      </c>
      <c r="C11" s="77"/>
      <c r="D11" s="77"/>
      <c r="E11" s="78"/>
      <c r="G11" s="6" t="s">
        <v>71</v>
      </c>
      <c r="I11" s="85" t="s">
        <v>86</v>
      </c>
      <c r="J11" s="85"/>
      <c r="K11" s="85"/>
      <c r="L11" s="106"/>
    </row>
    <row r="12" spans="2:12" x14ac:dyDescent="0.25">
      <c r="B12" s="6" t="s">
        <v>9</v>
      </c>
      <c r="C12" t="s">
        <v>10</v>
      </c>
      <c r="D12" t="s">
        <v>11</v>
      </c>
      <c r="E12" s="5" t="s">
        <v>12</v>
      </c>
      <c r="G12" s="6" t="s">
        <v>17</v>
      </c>
      <c r="H12" t="s">
        <v>12</v>
      </c>
      <c r="I12" t="s">
        <v>18</v>
      </c>
      <c r="J12" t="s">
        <v>37</v>
      </c>
      <c r="L12" s="5"/>
    </row>
    <row r="13" spans="2:12" x14ac:dyDescent="0.25">
      <c r="B13" s="95" t="s">
        <v>560</v>
      </c>
      <c r="C13" s="38" t="s">
        <v>641</v>
      </c>
      <c r="D13" s="40">
        <v>263.54399999999998</v>
      </c>
      <c r="E13" s="43" t="s">
        <v>23</v>
      </c>
      <c r="G13" s="6" t="s">
        <v>39</v>
      </c>
      <c r="H13" t="s">
        <v>40</v>
      </c>
      <c r="I13">
        <v>49740.553999999996</v>
      </c>
      <c r="J13">
        <f>I13/$J$8</f>
        <v>44.055226960719189</v>
      </c>
      <c r="L13" s="5"/>
    </row>
    <row r="14" spans="2:12" x14ac:dyDescent="0.25">
      <c r="B14" s="95"/>
      <c r="C14" s="38" t="s">
        <v>562</v>
      </c>
      <c r="D14" s="40">
        <v>149.79</v>
      </c>
      <c r="E14" s="43" t="s">
        <v>23</v>
      </c>
      <c r="G14" s="6" t="s">
        <v>41</v>
      </c>
      <c r="H14" t="s">
        <v>42</v>
      </c>
      <c r="I14">
        <v>2.0713586999999999E-2</v>
      </c>
      <c r="J14">
        <f t="shared" ref="J14:J30" si="0">I14/$J$8</f>
        <v>1.8346031619503121E-5</v>
      </c>
      <c r="L14" s="5"/>
    </row>
    <row r="15" spans="2:12" x14ac:dyDescent="0.25">
      <c r="B15" s="95"/>
      <c r="C15" t="s">
        <v>566</v>
      </c>
      <c r="D15" s="40">
        <v>5.0964686385861047</v>
      </c>
      <c r="E15" s="5" t="s">
        <v>23</v>
      </c>
      <c r="G15" s="6" t="s">
        <v>43</v>
      </c>
      <c r="H15" t="s">
        <v>44</v>
      </c>
      <c r="I15">
        <v>3120.7022999999999</v>
      </c>
      <c r="J15">
        <f t="shared" si="0"/>
        <v>2.7640071741729773</v>
      </c>
      <c r="L15" s="5"/>
    </row>
    <row r="16" spans="2:12" x14ac:dyDescent="0.25">
      <c r="B16" s="95"/>
      <c r="C16" t="s">
        <v>567</v>
      </c>
      <c r="D16" s="40">
        <v>2.353006689992375E-7</v>
      </c>
      <c r="E16" s="5" t="s">
        <v>171</v>
      </c>
      <c r="G16" s="6" t="s">
        <v>45</v>
      </c>
      <c r="H16" t="s">
        <v>46</v>
      </c>
      <c r="I16">
        <v>159.78054</v>
      </c>
      <c r="J16">
        <f t="shared" si="0"/>
        <v>0.14151768300783846</v>
      </c>
      <c r="L16" s="5"/>
    </row>
    <row r="17" spans="2:12" x14ac:dyDescent="0.25">
      <c r="B17" s="95"/>
      <c r="C17" t="s">
        <v>568</v>
      </c>
      <c r="D17" s="40">
        <v>51.375691921230896</v>
      </c>
      <c r="E17" s="5" t="s">
        <v>23</v>
      </c>
      <c r="G17" s="6" t="s">
        <v>47</v>
      </c>
      <c r="H17" t="s">
        <v>48</v>
      </c>
      <c r="I17">
        <v>191.19789</v>
      </c>
      <c r="J17">
        <f t="shared" si="0"/>
        <v>0.16934404145077722</v>
      </c>
      <c r="L17" s="5"/>
    </row>
    <row r="18" spans="2:12" x14ac:dyDescent="0.25">
      <c r="B18" s="95"/>
      <c r="C18" t="s">
        <v>524</v>
      </c>
      <c r="D18" s="40">
        <v>5.0964686385861047</v>
      </c>
      <c r="E18" s="5" t="s">
        <v>23</v>
      </c>
      <c r="G18" s="6" t="s">
        <v>49</v>
      </c>
      <c r="H18" t="s">
        <v>46</v>
      </c>
      <c r="I18">
        <v>171.06226000000001</v>
      </c>
      <c r="J18">
        <f t="shared" si="0"/>
        <v>0.15150990655861124</v>
      </c>
      <c r="L18" s="5"/>
    </row>
    <row r="19" spans="2:12" x14ac:dyDescent="0.25">
      <c r="B19" s="95"/>
      <c r="C19" t="s">
        <v>572</v>
      </c>
      <c r="D19">
        <v>25.2563</v>
      </c>
      <c r="E19" s="5" t="s">
        <v>23</v>
      </c>
      <c r="G19" s="6" t="s">
        <v>50</v>
      </c>
      <c r="H19" t="s">
        <v>51</v>
      </c>
      <c r="I19">
        <v>522.85988999999995</v>
      </c>
      <c r="J19">
        <f t="shared" si="0"/>
        <v>0.4630971967583366</v>
      </c>
      <c r="L19" s="5"/>
    </row>
    <row r="20" spans="2:12" x14ac:dyDescent="0.25">
      <c r="B20" s="95"/>
      <c r="C20" t="s">
        <v>80</v>
      </c>
      <c r="D20" s="40">
        <v>51.375691921230896</v>
      </c>
      <c r="E20" s="5" t="s">
        <v>23</v>
      </c>
      <c r="G20" s="6" t="s">
        <v>52</v>
      </c>
      <c r="H20" t="s">
        <v>53</v>
      </c>
      <c r="I20">
        <v>66.488318000000007</v>
      </c>
      <c r="J20">
        <f t="shared" si="0"/>
        <v>5.8888727691421998E-2</v>
      </c>
      <c r="L20" s="5"/>
    </row>
    <row r="21" spans="2:12" x14ac:dyDescent="0.25">
      <c r="B21" s="95"/>
      <c r="C21" t="s">
        <v>569</v>
      </c>
      <c r="D21" s="40">
        <v>282.56630556676993</v>
      </c>
      <c r="E21" s="5" t="s">
        <v>450</v>
      </c>
      <c r="G21" s="6" t="s">
        <v>54</v>
      </c>
      <c r="H21" t="s">
        <v>55</v>
      </c>
      <c r="I21">
        <v>2.3292890000000002</v>
      </c>
      <c r="J21">
        <f t="shared" si="0"/>
        <v>2.0630521234666316E-3</v>
      </c>
      <c r="L21" s="5"/>
    </row>
    <row r="22" spans="2:12" x14ac:dyDescent="0.25">
      <c r="B22" s="95"/>
      <c r="C22" t="s">
        <v>570</v>
      </c>
      <c r="D22" s="40">
        <v>282.56630556676993</v>
      </c>
      <c r="E22" s="5" t="s">
        <v>450</v>
      </c>
      <c r="G22" s="6" t="s">
        <v>56</v>
      </c>
      <c r="H22" t="s">
        <v>57</v>
      </c>
      <c r="I22">
        <v>999990.6</v>
      </c>
      <c r="J22">
        <f t="shared" si="0"/>
        <v>885.69204198219745</v>
      </c>
      <c r="L22" s="5"/>
    </row>
    <row r="23" spans="2:12" x14ac:dyDescent="0.25">
      <c r="B23" s="95" t="s">
        <v>564</v>
      </c>
      <c r="C23" t="s">
        <v>567</v>
      </c>
      <c r="D23">
        <v>5.0634321177051103E-8</v>
      </c>
      <c r="E23" s="5" t="s">
        <v>171</v>
      </c>
      <c r="G23" s="6" t="s">
        <v>58</v>
      </c>
      <c r="H23" t="s">
        <v>57</v>
      </c>
      <c r="I23">
        <v>42760.834000000003</v>
      </c>
      <c r="J23">
        <f t="shared" si="0"/>
        <v>37.873286391213853</v>
      </c>
      <c r="L23" s="5"/>
    </row>
    <row r="24" spans="2:12" x14ac:dyDescent="0.25">
      <c r="B24" s="95"/>
      <c r="C24" t="s">
        <v>568</v>
      </c>
      <c r="D24">
        <v>110.55528641277533</v>
      </c>
      <c r="E24" s="5" t="s">
        <v>23</v>
      </c>
      <c r="G24" s="6" t="s">
        <v>59</v>
      </c>
      <c r="H24" t="s">
        <v>57</v>
      </c>
      <c r="I24">
        <v>53906.144</v>
      </c>
      <c r="J24">
        <f t="shared" si="0"/>
        <v>47.744691554846995</v>
      </c>
      <c r="L24" s="5"/>
    </row>
    <row r="25" spans="2:12" x14ac:dyDescent="0.25">
      <c r="B25" s="95"/>
      <c r="C25" t="s">
        <v>571</v>
      </c>
      <c r="D25">
        <v>6.0805407527026434</v>
      </c>
      <c r="E25" s="5" t="s">
        <v>23</v>
      </c>
      <c r="G25" s="6" t="s">
        <v>60</v>
      </c>
      <c r="H25" t="s">
        <v>57</v>
      </c>
      <c r="I25">
        <v>64783.821000000004</v>
      </c>
      <c r="J25">
        <f t="shared" si="0"/>
        <v>57.379054072007442</v>
      </c>
      <c r="L25" s="5"/>
    </row>
    <row r="26" spans="2:12" x14ac:dyDescent="0.25">
      <c r="B26" s="95"/>
      <c r="C26" t="s">
        <v>80</v>
      </c>
      <c r="D26">
        <v>110.55528641277533</v>
      </c>
      <c r="E26" s="5" t="s">
        <v>23</v>
      </c>
      <c r="G26" s="6" t="s">
        <v>61</v>
      </c>
      <c r="H26" t="s">
        <v>57</v>
      </c>
      <c r="I26">
        <v>668797.31999999995</v>
      </c>
      <c r="J26">
        <f t="shared" si="0"/>
        <v>592.35403215092333</v>
      </c>
      <c r="L26" s="5"/>
    </row>
    <row r="27" spans="2:12" x14ac:dyDescent="0.25">
      <c r="B27" s="95"/>
      <c r="C27" t="s">
        <v>569</v>
      </c>
      <c r="D27">
        <v>34.824915220024231</v>
      </c>
      <c r="E27" s="5" t="s">
        <v>450</v>
      </c>
      <c r="G27" s="6" t="s">
        <v>62</v>
      </c>
      <c r="H27" t="s">
        <v>63</v>
      </c>
      <c r="I27">
        <v>2920.3737000000001</v>
      </c>
      <c r="J27">
        <f t="shared" si="0"/>
        <v>2.5865760595190648</v>
      </c>
      <c r="L27" s="5"/>
    </row>
    <row r="28" spans="2:12" x14ac:dyDescent="0.25">
      <c r="B28" s="95"/>
      <c r="C28" t="s">
        <v>570</v>
      </c>
      <c r="D28">
        <v>34.824915220024231</v>
      </c>
      <c r="E28" s="5" t="s">
        <v>450</v>
      </c>
      <c r="G28" s="6" t="s">
        <v>64</v>
      </c>
      <c r="H28" t="s">
        <v>65</v>
      </c>
      <c r="I28">
        <v>2295.9326000000001</v>
      </c>
      <c r="J28">
        <f t="shared" si="0"/>
        <v>2.0335083477259643</v>
      </c>
      <c r="L28" s="5"/>
    </row>
    <row r="29" spans="2:12" x14ac:dyDescent="0.25">
      <c r="B29" s="46" t="s">
        <v>565</v>
      </c>
      <c r="C29" s="41" t="s">
        <v>530</v>
      </c>
      <c r="D29" s="41">
        <v>2.6</v>
      </c>
      <c r="E29" s="44" t="s">
        <v>171</v>
      </c>
      <c r="G29" s="6" t="s">
        <v>66</v>
      </c>
      <c r="H29" t="s">
        <v>67</v>
      </c>
      <c r="I29">
        <v>12993.195</v>
      </c>
      <c r="J29">
        <f t="shared" si="0"/>
        <v>11.508077587352199</v>
      </c>
      <c r="L29" s="5"/>
    </row>
    <row r="30" spans="2:12" ht="15.75" thickBot="1" x14ac:dyDescent="0.3">
      <c r="B30" s="6"/>
      <c r="E30" s="5"/>
      <c r="G30" s="7" t="s">
        <v>68</v>
      </c>
      <c r="H30" s="8" t="s">
        <v>69</v>
      </c>
      <c r="I30" s="8">
        <v>522.72249999999997</v>
      </c>
      <c r="J30" s="8">
        <f t="shared" si="0"/>
        <v>0.46297551038483681</v>
      </c>
      <c r="K30" s="8"/>
      <c r="L30" s="9"/>
    </row>
    <row r="31" spans="2:12" x14ac:dyDescent="0.25">
      <c r="B31" s="76" t="s">
        <v>13</v>
      </c>
      <c r="C31" s="77"/>
      <c r="D31" s="77"/>
      <c r="E31" s="78"/>
    </row>
    <row r="32" spans="2:12" x14ac:dyDescent="0.25">
      <c r="B32" s="47"/>
      <c r="C32" s="3" t="s">
        <v>496</v>
      </c>
      <c r="D32" s="3">
        <v>65.032521419279604</v>
      </c>
      <c r="E32" s="15" t="s">
        <v>27</v>
      </c>
    </row>
    <row r="33" spans="2:55" x14ac:dyDescent="0.25">
      <c r="B33" s="47"/>
      <c r="C33" s="3" t="s">
        <v>77</v>
      </c>
      <c r="D33" s="3">
        <v>6.5032521419279607</v>
      </c>
      <c r="E33" s="15" t="s">
        <v>195</v>
      </c>
    </row>
    <row r="34" spans="2:55" x14ac:dyDescent="0.25">
      <c r="B34" s="6"/>
      <c r="C34" t="s">
        <v>622</v>
      </c>
      <c r="D34">
        <v>8.0965489167003106</v>
      </c>
      <c r="E34" s="5" t="s">
        <v>23</v>
      </c>
    </row>
    <row r="35" spans="2:55" x14ac:dyDescent="0.25">
      <c r="B35" s="6"/>
      <c r="C35" t="s">
        <v>626</v>
      </c>
      <c r="D35">
        <v>97.995000000000005</v>
      </c>
      <c r="E35" s="5" t="s">
        <v>23</v>
      </c>
    </row>
    <row r="36" spans="2:55" x14ac:dyDescent="0.25">
      <c r="B36" s="6"/>
      <c r="C36" t="s">
        <v>625</v>
      </c>
      <c r="D36">
        <v>1.7236000000000001E-6</v>
      </c>
      <c r="E36" s="5" t="s">
        <v>23</v>
      </c>
    </row>
    <row r="37" spans="2:55" x14ac:dyDescent="0.25">
      <c r="B37" s="6"/>
      <c r="C37" t="s">
        <v>623</v>
      </c>
      <c r="D37">
        <f>9.313*0.47/0.97 + 8.896</f>
        <v>13.408484536082476</v>
      </c>
      <c r="E37" s="5" t="s">
        <v>23</v>
      </c>
    </row>
    <row r="38" spans="2:55" ht="15.75" thickBot="1" x14ac:dyDescent="0.3">
      <c r="B38" s="7"/>
      <c r="C38" s="8" t="s">
        <v>624</v>
      </c>
      <c r="D38" s="8">
        <v>42.395000000000003</v>
      </c>
      <c r="E38" s="9" t="s">
        <v>23</v>
      </c>
    </row>
    <row r="40" spans="2:55" ht="15.75" thickBot="1" x14ac:dyDescent="0.3"/>
    <row r="41" spans="2:55" x14ac:dyDescent="0.25">
      <c r="B41" s="79" t="s">
        <v>1</v>
      </c>
      <c r="C41" s="80"/>
      <c r="D41" s="80"/>
      <c r="E41" s="81"/>
      <c r="G41" s="79" t="s">
        <v>70</v>
      </c>
      <c r="H41" s="80"/>
      <c r="I41" s="80"/>
      <c r="J41" s="80"/>
      <c r="K41" s="80"/>
      <c r="L41" s="81"/>
    </row>
    <row r="42" spans="2:55" x14ac:dyDescent="0.25">
      <c r="B42" s="74" t="s">
        <v>14</v>
      </c>
      <c r="C42" s="75"/>
      <c r="D42" s="75"/>
      <c r="E42" s="5" t="s">
        <v>557</v>
      </c>
      <c r="G42" s="74" t="s">
        <v>38</v>
      </c>
      <c r="H42" s="75"/>
      <c r="I42" s="75"/>
      <c r="J42">
        <v>1129.05</v>
      </c>
      <c r="L42" s="5"/>
    </row>
    <row r="43" spans="2:55" x14ac:dyDescent="0.25">
      <c r="B43" s="74" t="s">
        <v>15</v>
      </c>
      <c r="C43" s="75"/>
      <c r="D43" s="75"/>
      <c r="E43" s="5" t="s">
        <v>558</v>
      </c>
      <c r="G43" s="74" t="s">
        <v>15</v>
      </c>
      <c r="H43" s="75"/>
      <c r="I43" s="75"/>
      <c r="J43">
        <v>1300</v>
      </c>
      <c r="L43" s="5"/>
    </row>
    <row r="44" spans="2:55" x14ac:dyDescent="0.25">
      <c r="B44" s="20"/>
      <c r="C44" s="21"/>
      <c r="D44" s="21"/>
      <c r="E44" s="12"/>
      <c r="G44" s="10" t="s">
        <v>19</v>
      </c>
      <c r="H44" s="104" t="s">
        <v>21</v>
      </c>
      <c r="I44" s="104"/>
      <c r="J44" s="104"/>
      <c r="K44" s="104"/>
      <c r="L44" s="105"/>
      <c r="BC44" s="70"/>
    </row>
    <row r="45" spans="2:55" x14ac:dyDescent="0.25">
      <c r="B45" s="76" t="s">
        <v>7</v>
      </c>
      <c r="C45" s="77"/>
      <c r="D45" s="77"/>
      <c r="E45" s="78"/>
      <c r="G45" s="6" t="s">
        <v>71</v>
      </c>
      <c r="I45" s="85" t="s">
        <v>86</v>
      </c>
      <c r="J45" s="85"/>
      <c r="K45" s="85"/>
      <c r="L45" s="106"/>
      <c r="BC45" s="70"/>
    </row>
    <row r="46" spans="2:55" x14ac:dyDescent="0.25">
      <c r="B46" s="6" t="s">
        <v>9</v>
      </c>
      <c r="C46" t="s">
        <v>10</v>
      </c>
      <c r="D46" t="s">
        <v>11</v>
      </c>
      <c r="E46" s="5" t="s">
        <v>12</v>
      </c>
      <c r="G46" s="6" t="s">
        <v>17</v>
      </c>
      <c r="H46" t="s">
        <v>12</v>
      </c>
      <c r="I46" t="s">
        <v>18</v>
      </c>
      <c r="J46" t="s">
        <v>20</v>
      </c>
      <c r="L46" s="5"/>
      <c r="BC46" s="70"/>
    </row>
    <row r="47" spans="2:55" x14ac:dyDescent="0.25">
      <c r="B47" s="95" t="s">
        <v>560</v>
      </c>
      <c r="C47" s="38" t="s">
        <v>744</v>
      </c>
      <c r="D47">
        <v>1.3</v>
      </c>
      <c r="E47" s="5" t="s">
        <v>589</v>
      </c>
      <c r="G47" s="6" t="s">
        <v>39</v>
      </c>
      <c r="H47" t="s">
        <v>40</v>
      </c>
      <c r="I47">
        <v>86244.517999999996</v>
      </c>
      <c r="J47">
        <f>I47/$J$42</f>
        <v>76.386801293122531</v>
      </c>
      <c r="L47" s="5"/>
      <c r="BC47" s="70"/>
    </row>
    <row r="48" spans="2:55" x14ac:dyDescent="0.25">
      <c r="B48" s="95"/>
      <c r="C48" t="s">
        <v>566</v>
      </c>
      <c r="D48">
        <v>103.8350513614139</v>
      </c>
      <c r="E48" s="5" t="s">
        <v>23</v>
      </c>
      <c r="G48" s="6" t="s">
        <v>41</v>
      </c>
      <c r="H48" t="s">
        <v>42</v>
      </c>
      <c r="I48">
        <v>0.24568651</v>
      </c>
      <c r="J48">
        <f t="shared" ref="J48:J64" si="1">I48/$J$42</f>
        <v>2.1760463221292238E-4</v>
      </c>
      <c r="L48" s="5"/>
    </row>
    <row r="49" spans="2:12" x14ac:dyDescent="0.25">
      <c r="B49" s="95"/>
      <c r="C49" t="s">
        <v>567</v>
      </c>
      <c r="D49">
        <v>4.7939973310007631E-6</v>
      </c>
      <c r="E49" s="5" t="s">
        <v>171</v>
      </c>
      <c r="G49" s="6" t="s">
        <v>43</v>
      </c>
      <c r="H49" t="s">
        <v>44</v>
      </c>
      <c r="I49">
        <v>5201.4907000000003</v>
      </c>
      <c r="J49">
        <f t="shared" si="1"/>
        <v>4.6069622248793234</v>
      </c>
      <c r="L49" s="5"/>
    </row>
    <row r="50" spans="2:12" x14ac:dyDescent="0.25">
      <c r="B50" s="95"/>
      <c r="C50" t="s">
        <v>568</v>
      </c>
      <c r="D50">
        <v>1046.7243080787691</v>
      </c>
      <c r="E50" s="5" t="s">
        <v>23</v>
      </c>
      <c r="G50" s="6" t="s">
        <v>45</v>
      </c>
      <c r="H50" t="s">
        <v>46</v>
      </c>
      <c r="I50">
        <v>192.54503</v>
      </c>
      <c r="J50">
        <f t="shared" si="1"/>
        <v>0.17053720384393961</v>
      </c>
      <c r="L50" s="5"/>
    </row>
    <row r="51" spans="2:12" x14ac:dyDescent="0.25">
      <c r="B51" s="95"/>
      <c r="C51" t="s">
        <v>524</v>
      </c>
      <c r="D51">
        <v>103.8350513614139</v>
      </c>
      <c r="E51" s="5" t="s">
        <v>23</v>
      </c>
      <c r="G51" s="6" t="s">
        <v>47</v>
      </c>
      <c r="H51" t="s">
        <v>48</v>
      </c>
      <c r="I51">
        <v>142.95922999999999</v>
      </c>
      <c r="J51">
        <f t="shared" si="1"/>
        <v>0.12661904255790266</v>
      </c>
      <c r="L51" s="5"/>
    </row>
    <row r="52" spans="2:12" x14ac:dyDescent="0.25">
      <c r="B52" s="95"/>
      <c r="C52" t="s">
        <v>80</v>
      </c>
      <c r="D52">
        <v>1046.7243080787691</v>
      </c>
      <c r="E52" s="5" t="s">
        <v>23</v>
      </c>
      <c r="G52" s="6" t="s">
        <v>49</v>
      </c>
      <c r="H52" t="s">
        <v>46</v>
      </c>
      <c r="I52">
        <v>200.11975000000001</v>
      </c>
      <c r="J52">
        <f t="shared" si="1"/>
        <v>0.17724613613214651</v>
      </c>
      <c r="L52" s="5"/>
    </row>
    <row r="53" spans="2:12" x14ac:dyDescent="0.25">
      <c r="B53" s="95"/>
      <c r="C53" t="s">
        <v>569</v>
      </c>
      <c r="D53">
        <v>5756.9836944332301</v>
      </c>
      <c r="E53" s="5" t="s">
        <v>450</v>
      </c>
      <c r="G53" s="6" t="s">
        <v>50</v>
      </c>
      <c r="H53" t="s">
        <v>51</v>
      </c>
      <c r="I53">
        <v>272.54381999999998</v>
      </c>
      <c r="J53">
        <f t="shared" si="1"/>
        <v>0.24139216155174703</v>
      </c>
      <c r="L53" s="5"/>
    </row>
    <row r="54" spans="2:12" x14ac:dyDescent="0.25">
      <c r="B54" s="95"/>
      <c r="C54" t="s">
        <v>570</v>
      </c>
      <c r="D54">
        <v>5756.9836944332301</v>
      </c>
      <c r="E54" s="5" t="s">
        <v>450</v>
      </c>
      <c r="G54" s="6" t="s">
        <v>52</v>
      </c>
      <c r="H54" t="s">
        <v>53</v>
      </c>
      <c r="I54">
        <v>40.38241</v>
      </c>
      <c r="J54">
        <f t="shared" si="1"/>
        <v>3.5766715380186886E-2</v>
      </c>
      <c r="L54" s="5"/>
    </row>
    <row r="55" spans="2:12" x14ac:dyDescent="0.25">
      <c r="B55" s="95" t="s">
        <v>564</v>
      </c>
      <c r="C55" t="s">
        <v>567</v>
      </c>
      <c r="D55">
        <v>1.0316196788229489E-6</v>
      </c>
      <c r="E55" s="5" t="s">
        <v>171</v>
      </c>
      <c r="G55" s="6" t="s">
        <v>54</v>
      </c>
      <c r="H55" t="s">
        <v>55</v>
      </c>
      <c r="I55">
        <v>2.6558320000000002</v>
      </c>
      <c r="J55">
        <f t="shared" si="1"/>
        <v>2.3522713785926225E-3</v>
      </c>
      <c r="L55" s="5"/>
    </row>
    <row r="56" spans="2:12" x14ac:dyDescent="0.25">
      <c r="B56" s="95"/>
      <c r="C56" t="s">
        <v>568</v>
      </c>
      <c r="D56">
        <v>2252.4447135872247</v>
      </c>
      <c r="E56" s="5" t="s">
        <v>23</v>
      </c>
      <c r="G56" s="6" t="s">
        <v>56</v>
      </c>
      <c r="H56" t="s">
        <v>57</v>
      </c>
      <c r="I56">
        <v>183353.36</v>
      </c>
      <c r="J56">
        <f t="shared" si="1"/>
        <v>162.39613834639741</v>
      </c>
      <c r="L56" s="5"/>
    </row>
    <row r="57" spans="2:12" x14ac:dyDescent="0.25">
      <c r="B57" s="95"/>
      <c r="C57" t="s">
        <v>571</v>
      </c>
      <c r="D57">
        <v>123.88445924729736</v>
      </c>
      <c r="E57" s="5" t="s">
        <v>23</v>
      </c>
      <c r="G57" s="6" t="s">
        <v>58</v>
      </c>
      <c r="H57" t="s">
        <v>57</v>
      </c>
      <c r="I57">
        <v>6032.2263999999996</v>
      </c>
      <c r="J57">
        <f t="shared" si="1"/>
        <v>5.3427451397192325</v>
      </c>
      <c r="L57" s="5"/>
    </row>
    <row r="58" spans="2:12" x14ac:dyDescent="0.25">
      <c r="B58" s="95"/>
      <c r="C58" t="s">
        <v>80</v>
      </c>
      <c r="D58">
        <v>2252.4447135872247</v>
      </c>
      <c r="E58" s="5" t="s">
        <v>23</v>
      </c>
      <c r="G58" s="6" t="s">
        <v>59</v>
      </c>
      <c r="H58" t="s">
        <v>57</v>
      </c>
      <c r="I58">
        <v>7993.8005000000003</v>
      </c>
      <c r="J58">
        <f t="shared" si="1"/>
        <v>7.0801120410964975</v>
      </c>
      <c r="L58" s="5"/>
    </row>
    <row r="59" spans="2:12" x14ac:dyDescent="0.25">
      <c r="B59" s="95"/>
      <c r="C59" t="s">
        <v>569</v>
      </c>
      <c r="D59">
        <v>709.52008477997583</v>
      </c>
      <c r="E59" s="5" t="s">
        <v>450</v>
      </c>
      <c r="G59" s="6" t="s">
        <v>60</v>
      </c>
      <c r="H59" t="s">
        <v>57</v>
      </c>
      <c r="I59">
        <v>61294.527000000002</v>
      </c>
      <c r="J59">
        <f t="shared" si="1"/>
        <v>54.288585093662817</v>
      </c>
      <c r="L59" s="5"/>
    </row>
    <row r="60" spans="2:12" x14ac:dyDescent="0.25">
      <c r="B60" s="93"/>
      <c r="C60" s="2" t="s">
        <v>570</v>
      </c>
      <c r="D60" s="2">
        <v>709.52008477997583</v>
      </c>
      <c r="E60" s="14" t="s">
        <v>450</v>
      </c>
      <c r="G60" s="6" t="s">
        <v>61</v>
      </c>
      <c r="H60" t="s">
        <v>57</v>
      </c>
      <c r="I60">
        <v>142301.03</v>
      </c>
      <c r="J60">
        <f t="shared" si="1"/>
        <v>126.03607457597096</v>
      </c>
      <c r="L60" s="5"/>
    </row>
    <row r="61" spans="2:12" x14ac:dyDescent="0.25">
      <c r="B61" s="6"/>
      <c r="E61" s="5"/>
      <c r="G61" s="6" t="s">
        <v>62</v>
      </c>
      <c r="H61" t="s">
        <v>63</v>
      </c>
      <c r="I61">
        <v>2764.8521000000001</v>
      </c>
      <c r="J61">
        <f t="shared" si="1"/>
        <v>2.4488305212346666</v>
      </c>
      <c r="L61" s="5"/>
    </row>
    <row r="62" spans="2:12" x14ac:dyDescent="0.25">
      <c r="B62" s="76" t="s">
        <v>13</v>
      </c>
      <c r="C62" s="77"/>
      <c r="D62" s="77"/>
      <c r="E62" s="78"/>
      <c r="G62" s="6" t="s">
        <v>64</v>
      </c>
      <c r="H62" t="s">
        <v>65</v>
      </c>
      <c r="I62">
        <v>914.78629000000001</v>
      </c>
      <c r="J62">
        <f t="shared" si="1"/>
        <v>0.81022655329701965</v>
      </c>
      <c r="L62" s="5"/>
    </row>
    <row r="63" spans="2:12" x14ac:dyDescent="0.25">
      <c r="B63" s="6"/>
      <c r="C63" s="3" t="s">
        <v>496</v>
      </c>
      <c r="D63">
        <f>1324.96747858072*181.658/103.85</f>
        <v>2317.6787888687181</v>
      </c>
      <c r="E63" s="5" t="s">
        <v>27</v>
      </c>
      <c r="G63" s="6" t="s">
        <v>66</v>
      </c>
      <c r="H63" t="s">
        <v>67</v>
      </c>
      <c r="I63">
        <v>22903.775000000001</v>
      </c>
      <c r="J63">
        <f t="shared" si="1"/>
        <v>20.285881936141006</v>
      </c>
      <c r="L63" s="5"/>
    </row>
    <row r="64" spans="2:12" ht="15.75" thickBot="1" x14ac:dyDescent="0.3">
      <c r="B64" s="6"/>
      <c r="C64" s="3" t="s">
        <v>77</v>
      </c>
      <c r="D64">
        <f>132.496747858072*181.658/103.85</f>
        <v>231.76787888687187</v>
      </c>
      <c r="E64" s="5" t="s">
        <v>195</v>
      </c>
      <c r="G64" s="7" t="s">
        <v>68</v>
      </c>
      <c r="H64" s="8" t="s">
        <v>69</v>
      </c>
      <c r="I64" s="8">
        <v>597.63270999999997</v>
      </c>
      <c r="J64" s="8">
        <f t="shared" si="1"/>
        <v>0.52932351091625707</v>
      </c>
      <c r="K64" s="8"/>
      <c r="L64" s="9"/>
    </row>
    <row r="65" spans="2:105" x14ac:dyDescent="0.25">
      <c r="B65" s="6"/>
      <c r="C65" t="s">
        <v>622</v>
      </c>
      <c r="D65">
        <f>164.9584510833*181.658/103.85</f>
        <v>288.55100921415607</v>
      </c>
      <c r="E65" s="5" t="s">
        <v>23</v>
      </c>
    </row>
    <row r="66" spans="2:105" ht="15.75" thickBot="1" x14ac:dyDescent="0.3">
      <c r="B66" s="7"/>
      <c r="C66" s="60" t="s">
        <v>620</v>
      </c>
      <c r="D66" s="8">
        <v>9313</v>
      </c>
      <c r="E66" s="9" t="s">
        <v>23</v>
      </c>
    </row>
    <row r="68" spans="2:105" ht="15.75" thickBot="1" x14ac:dyDescent="0.3"/>
    <row r="69" spans="2:105" x14ac:dyDescent="0.25">
      <c r="C69" s="96" t="s">
        <v>640</v>
      </c>
      <c r="D69" s="97"/>
      <c r="E69" s="98"/>
      <c r="G69" s="96" t="s">
        <v>683</v>
      </c>
      <c r="H69" s="97"/>
      <c r="I69" s="98"/>
      <c r="K69" s="96" t="s">
        <v>574</v>
      </c>
      <c r="L69" s="97"/>
      <c r="M69" s="98"/>
      <c r="O69" s="96" t="s">
        <v>575</v>
      </c>
      <c r="P69" s="97"/>
      <c r="Q69" s="98"/>
      <c r="S69" s="96" t="s">
        <v>710</v>
      </c>
      <c r="T69" s="97"/>
      <c r="U69" s="98"/>
      <c r="W69" s="96" t="s">
        <v>706</v>
      </c>
      <c r="X69" s="97"/>
      <c r="Y69" s="98"/>
      <c r="AA69" s="96" t="s">
        <v>705</v>
      </c>
      <c r="AB69" s="97"/>
      <c r="AC69" s="98"/>
      <c r="AE69" s="96" t="s">
        <v>718</v>
      </c>
      <c r="AF69" s="97"/>
      <c r="AG69" s="98"/>
      <c r="AI69" s="96" t="s">
        <v>724</v>
      </c>
      <c r="AJ69" s="97"/>
      <c r="AK69" s="98"/>
      <c r="AM69" s="96" t="s">
        <v>726</v>
      </c>
      <c r="AN69" s="97"/>
      <c r="AO69" s="98"/>
      <c r="AQ69" s="96" t="s">
        <v>727</v>
      </c>
      <c r="AR69" s="97"/>
      <c r="AS69" s="98"/>
      <c r="AU69" s="96" t="s">
        <v>724</v>
      </c>
      <c r="AV69" s="97"/>
      <c r="AW69" s="98"/>
      <c r="AY69" s="96" t="s">
        <v>734</v>
      </c>
      <c r="AZ69" s="97"/>
      <c r="BA69" s="98"/>
      <c r="BC69" s="96" t="s">
        <v>739</v>
      </c>
      <c r="BD69" s="97"/>
      <c r="BE69" s="98"/>
      <c r="BG69" s="96" t="s">
        <v>748</v>
      </c>
      <c r="BH69" s="97"/>
      <c r="BI69" s="98"/>
    </row>
    <row r="70" spans="2:105" x14ac:dyDescent="0.25">
      <c r="C70" s="76" t="s">
        <v>7</v>
      </c>
      <c r="D70" s="77"/>
      <c r="E70" s="78"/>
      <c r="G70" s="76" t="s">
        <v>7</v>
      </c>
      <c r="H70" s="77"/>
      <c r="I70" s="78"/>
      <c r="K70" s="76" t="s">
        <v>7</v>
      </c>
      <c r="L70" s="77"/>
      <c r="M70" s="78"/>
      <c r="O70" s="76" t="s">
        <v>7</v>
      </c>
      <c r="P70" s="77"/>
      <c r="Q70" s="78"/>
      <c r="S70" s="76" t="s">
        <v>7</v>
      </c>
      <c r="T70" s="77"/>
      <c r="U70" s="78"/>
      <c r="W70" s="76" t="s">
        <v>7</v>
      </c>
      <c r="X70" s="77"/>
      <c r="Y70" s="78"/>
      <c r="AA70" s="76" t="s">
        <v>7</v>
      </c>
      <c r="AB70" s="77"/>
      <c r="AC70" s="78"/>
      <c r="AE70" s="76" t="s">
        <v>7</v>
      </c>
      <c r="AF70" s="77"/>
      <c r="AG70" s="78"/>
      <c r="AI70" s="76" t="s">
        <v>7</v>
      </c>
      <c r="AJ70" s="77"/>
      <c r="AK70" s="78"/>
      <c r="AM70" s="76" t="s">
        <v>7</v>
      </c>
      <c r="AN70" s="77"/>
      <c r="AO70" s="78"/>
      <c r="AQ70" s="76" t="s">
        <v>7</v>
      </c>
      <c r="AR70" s="77"/>
      <c r="AS70" s="78"/>
      <c r="AU70" s="76" t="s">
        <v>7</v>
      </c>
      <c r="AV70" s="77"/>
      <c r="AW70" s="78"/>
      <c r="AY70" s="76" t="s">
        <v>7</v>
      </c>
      <c r="AZ70" s="77"/>
      <c r="BA70" s="78"/>
      <c r="BC70" s="76" t="s">
        <v>7</v>
      </c>
      <c r="BD70" s="77"/>
      <c r="BE70" s="78"/>
      <c r="BG70" s="76" t="s">
        <v>7</v>
      </c>
      <c r="BH70" s="77"/>
      <c r="BI70" s="78"/>
      <c r="CM70" s="18"/>
      <c r="CN70" s="18"/>
      <c r="CO70" s="18"/>
      <c r="CQ70" s="18"/>
      <c r="CR70" s="18"/>
      <c r="CS70" s="18"/>
      <c r="CU70" s="18"/>
      <c r="CV70" s="18"/>
      <c r="CW70" s="18"/>
      <c r="CY70" s="18"/>
      <c r="CZ70" s="18"/>
      <c r="DA70" s="18"/>
    </row>
    <row r="71" spans="2:105" x14ac:dyDescent="0.25">
      <c r="C71" s="6" t="s">
        <v>10</v>
      </c>
      <c r="D71" t="s">
        <v>11</v>
      </c>
      <c r="E71" s="5" t="s">
        <v>12</v>
      </c>
      <c r="G71" s="6" t="s">
        <v>10</v>
      </c>
      <c r="H71" t="s">
        <v>11</v>
      </c>
      <c r="I71" s="5" t="s">
        <v>12</v>
      </c>
      <c r="K71" s="6" t="s">
        <v>10</v>
      </c>
      <c r="L71" t="s">
        <v>11</v>
      </c>
      <c r="M71" s="5" t="s">
        <v>12</v>
      </c>
      <c r="O71" s="6" t="s">
        <v>10</v>
      </c>
      <c r="P71" t="s">
        <v>11</v>
      </c>
      <c r="Q71" s="5" t="s">
        <v>12</v>
      </c>
      <c r="S71" s="6" t="s">
        <v>10</v>
      </c>
      <c r="T71" t="s">
        <v>11</v>
      </c>
      <c r="U71" s="5" t="s">
        <v>12</v>
      </c>
      <c r="W71" s="6" t="s">
        <v>10</v>
      </c>
      <c r="X71" t="s">
        <v>11</v>
      </c>
      <c r="Y71" s="5" t="s">
        <v>12</v>
      </c>
      <c r="AA71" s="6" t="s">
        <v>10</v>
      </c>
      <c r="AB71" t="s">
        <v>11</v>
      </c>
      <c r="AC71" s="5" t="s">
        <v>12</v>
      </c>
      <c r="AE71" s="6" t="s">
        <v>10</v>
      </c>
      <c r="AF71" t="s">
        <v>11</v>
      </c>
      <c r="AG71" s="5" t="s">
        <v>12</v>
      </c>
      <c r="AI71" s="6" t="s">
        <v>10</v>
      </c>
      <c r="AJ71" t="s">
        <v>11</v>
      </c>
      <c r="AK71" s="5" t="s">
        <v>12</v>
      </c>
      <c r="AM71" s="6" t="s">
        <v>10</v>
      </c>
      <c r="AN71" t="s">
        <v>11</v>
      </c>
      <c r="AO71" s="5" t="s">
        <v>12</v>
      </c>
      <c r="AQ71" s="6" t="s">
        <v>10</v>
      </c>
      <c r="AR71" t="s">
        <v>11</v>
      </c>
      <c r="AS71" s="5" t="s">
        <v>12</v>
      </c>
      <c r="AU71" s="6" t="s">
        <v>10</v>
      </c>
      <c r="AV71" t="s">
        <v>11</v>
      </c>
      <c r="AW71" s="5" t="s">
        <v>12</v>
      </c>
      <c r="AY71" s="6" t="s">
        <v>10</v>
      </c>
      <c r="AZ71" t="s">
        <v>11</v>
      </c>
      <c r="BA71" s="5" t="s">
        <v>12</v>
      </c>
      <c r="BC71" s="6" t="s">
        <v>10</v>
      </c>
      <c r="BD71" t="s">
        <v>11</v>
      </c>
      <c r="BE71" s="5" t="s">
        <v>12</v>
      </c>
      <c r="BG71" s="6" t="s">
        <v>10</v>
      </c>
      <c r="BH71" t="s">
        <v>11</v>
      </c>
      <c r="BI71" s="5" t="s">
        <v>12</v>
      </c>
    </row>
    <row r="72" spans="2:105" x14ac:dyDescent="0.25">
      <c r="C72" s="6" t="s">
        <v>577</v>
      </c>
      <c r="D72">
        <v>0.17</v>
      </c>
      <c r="E72" s="5" t="s">
        <v>23</v>
      </c>
      <c r="G72" s="59" t="s">
        <v>694</v>
      </c>
      <c r="H72">
        <v>357.85</v>
      </c>
      <c r="I72" s="5" t="s">
        <v>23</v>
      </c>
      <c r="K72" s="6" t="s">
        <v>613</v>
      </c>
      <c r="L72">
        <v>9.0999999999999998E-2</v>
      </c>
      <c r="M72" s="5" t="s">
        <v>23</v>
      </c>
      <c r="O72" s="6" t="s">
        <v>613</v>
      </c>
      <c r="P72">
        <v>3.1E-2</v>
      </c>
      <c r="Q72" s="5" t="s">
        <v>23</v>
      </c>
      <c r="S72" s="59" t="s">
        <v>696</v>
      </c>
      <c r="T72">
        <v>0.85699999999999998</v>
      </c>
      <c r="U72" s="5" t="s">
        <v>23</v>
      </c>
      <c r="W72" s="6" t="s">
        <v>715</v>
      </c>
      <c r="X72">
        <v>1.1445000000000001</v>
      </c>
      <c r="Y72" s="5" t="s">
        <v>23</v>
      </c>
      <c r="AA72" s="6" t="s">
        <v>700</v>
      </c>
      <c r="AB72" s="13">
        <v>0.752</v>
      </c>
      <c r="AC72" s="5" t="s">
        <v>23</v>
      </c>
      <c r="AE72" s="59" t="s">
        <v>719</v>
      </c>
      <c r="AF72">
        <v>0.87780000000000002</v>
      </c>
      <c r="AG72" s="5" t="s">
        <v>23</v>
      </c>
      <c r="AI72" s="6" t="s">
        <v>720</v>
      </c>
      <c r="AJ72">
        <v>0.70240000000000002</v>
      </c>
      <c r="AK72" s="5" t="s">
        <v>23</v>
      </c>
      <c r="AM72" s="59" t="s">
        <v>729</v>
      </c>
      <c r="AN72" s="13">
        <v>0.11700000000000001</v>
      </c>
      <c r="AO72" s="5" t="s">
        <v>23</v>
      </c>
      <c r="AQ72" s="6" t="s">
        <v>511</v>
      </c>
      <c r="AR72" s="13">
        <v>0.5</v>
      </c>
      <c r="AS72" s="5" t="s">
        <v>23</v>
      </c>
      <c r="AU72" s="6" t="s">
        <v>511</v>
      </c>
      <c r="AV72" s="13">
        <v>1</v>
      </c>
      <c r="AW72" s="5" t="s">
        <v>23</v>
      </c>
      <c r="AY72" s="6" t="s">
        <v>730</v>
      </c>
      <c r="AZ72" s="13">
        <v>0.31900000000000001</v>
      </c>
      <c r="BA72" s="5" t="s">
        <v>23</v>
      </c>
      <c r="BC72" s="6" t="s">
        <v>582</v>
      </c>
      <c r="BD72" s="13">
        <v>0.97799999999999998</v>
      </c>
      <c r="BE72" s="5" t="s">
        <v>23</v>
      </c>
      <c r="BG72" s="6" t="s">
        <v>511</v>
      </c>
      <c r="BH72">
        <v>1</v>
      </c>
      <c r="BI72" s="5" t="s">
        <v>23</v>
      </c>
    </row>
    <row r="73" spans="2:105" x14ac:dyDescent="0.25">
      <c r="C73" s="6" t="s">
        <v>576</v>
      </c>
      <c r="D73">
        <v>0.53</v>
      </c>
      <c r="E73" s="5" t="s">
        <v>23</v>
      </c>
      <c r="G73" s="59" t="s">
        <v>693</v>
      </c>
      <c r="H73">
        <v>382.94</v>
      </c>
      <c r="I73" s="5" t="s">
        <v>23</v>
      </c>
      <c r="K73" s="6" t="s">
        <v>614</v>
      </c>
      <c r="L73" s="13">
        <v>1.4000000000000001E-10</v>
      </c>
      <c r="M73" s="5" t="s">
        <v>88</v>
      </c>
      <c r="O73" s="6" t="s">
        <v>244</v>
      </c>
      <c r="P73">
        <v>0.97</v>
      </c>
      <c r="Q73" s="5" t="s">
        <v>23</v>
      </c>
      <c r="S73" s="6" t="s">
        <v>698</v>
      </c>
      <c r="T73" s="13">
        <v>2.4199999999999999E-2</v>
      </c>
      <c r="U73" s="5" t="s">
        <v>23</v>
      </c>
      <c r="W73" s="6" t="s">
        <v>716</v>
      </c>
      <c r="X73">
        <v>0.89958000000000005</v>
      </c>
      <c r="Y73" s="5" t="s">
        <v>23</v>
      </c>
      <c r="AA73" s="6" t="s">
        <v>701</v>
      </c>
      <c r="AB73" s="13">
        <v>0.251</v>
      </c>
      <c r="AC73" s="5" t="s">
        <v>23</v>
      </c>
      <c r="AE73" s="6" t="s">
        <v>488</v>
      </c>
      <c r="AF73">
        <v>1.8280000000000001E-2</v>
      </c>
      <c r="AG73" s="5" t="s">
        <v>23</v>
      </c>
      <c r="AI73" s="6" t="s">
        <v>721</v>
      </c>
      <c r="AJ73">
        <v>2.1000000000000001E-2</v>
      </c>
      <c r="AK73" s="5" t="s">
        <v>23</v>
      </c>
      <c r="AM73" s="59" t="s">
        <v>728</v>
      </c>
      <c r="AN73" s="13">
        <v>0.17699999999999999</v>
      </c>
      <c r="AO73" s="5" t="s">
        <v>23</v>
      </c>
      <c r="AQ73" s="6" t="s">
        <v>740</v>
      </c>
      <c r="AR73" s="13">
        <v>7.8E-2</v>
      </c>
      <c r="AS73" s="5" t="s">
        <v>23</v>
      </c>
      <c r="AU73" s="6" t="s">
        <v>697</v>
      </c>
      <c r="AV73" s="13">
        <v>1</v>
      </c>
      <c r="AW73" s="5" t="s">
        <v>23</v>
      </c>
      <c r="AY73" s="6" t="s">
        <v>731</v>
      </c>
      <c r="AZ73">
        <v>1.98</v>
      </c>
      <c r="BA73" s="5" t="s">
        <v>23</v>
      </c>
      <c r="BC73" s="6" t="s">
        <v>738</v>
      </c>
      <c r="BD73" s="13">
        <v>0.71099999999999997</v>
      </c>
      <c r="BE73" s="5" t="s">
        <v>23</v>
      </c>
      <c r="BG73" s="6" t="s">
        <v>697</v>
      </c>
      <c r="BH73">
        <v>1</v>
      </c>
      <c r="BI73" s="5" t="s">
        <v>23</v>
      </c>
    </row>
    <row r="74" spans="2:105" x14ac:dyDescent="0.25">
      <c r="C74" s="6" t="s">
        <v>566</v>
      </c>
      <c r="D74">
        <v>0.17</v>
      </c>
      <c r="E74" s="5" t="s">
        <v>23</v>
      </c>
      <c r="G74" s="59" t="s">
        <v>427</v>
      </c>
      <c r="H74">
        <v>214.28</v>
      </c>
      <c r="I74" s="5" t="s">
        <v>23</v>
      </c>
      <c r="K74" s="6" t="s">
        <v>415</v>
      </c>
      <c r="L74">
        <v>0.91</v>
      </c>
      <c r="M74" s="5" t="s">
        <v>23</v>
      </c>
      <c r="O74" s="6" t="s">
        <v>418</v>
      </c>
      <c r="P74">
        <v>3.1E-2</v>
      </c>
      <c r="Q74" s="5" t="s">
        <v>23</v>
      </c>
      <c r="S74" s="59" t="s">
        <v>699</v>
      </c>
      <c r="T74" s="13">
        <v>1.04E-2</v>
      </c>
      <c r="U74" s="5" t="s">
        <v>23</v>
      </c>
      <c r="W74" s="6" t="s">
        <v>692</v>
      </c>
      <c r="X74" s="13">
        <v>4.0000000000000001E-10</v>
      </c>
      <c r="Y74" s="5" t="s">
        <v>88</v>
      </c>
      <c r="AA74" s="6" t="s">
        <v>702</v>
      </c>
      <c r="AB74" s="13">
        <v>2.7300000000000001E-2</v>
      </c>
      <c r="AC74" s="5" t="s">
        <v>23</v>
      </c>
      <c r="AE74" s="6" t="s">
        <v>516</v>
      </c>
      <c r="AF74">
        <v>1.8284999999999999E-2</v>
      </c>
      <c r="AG74" s="5" t="s">
        <v>23</v>
      </c>
      <c r="AI74" s="6" t="s">
        <v>722</v>
      </c>
      <c r="AJ74">
        <v>0.73660000000000003</v>
      </c>
      <c r="AK74" s="5" t="s">
        <v>23</v>
      </c>
      <c r="AM74" s="6" t="s">
        <v>582</v>
      </c>
      <c r="AN74" s="13">
        <v>0.70699999999999996</v>
      </c>
      <c r="AO74" s="5" t="s">
        <v>23</v>
      </c>
      <c r="AQ74" s="6" t="s">
        <v>741</v>
      </c>
      <c r="AR74" s="13">
        <v>0.08</v>
      </c>
      <c r="AS74" s="5" t="s">
        <v>23</v>
      </c>
      <c r="AU74" s="6" t="s">
        <v>742</v>
      </c>
      <c r="AV74" s="13">
        <v>1.5E-10</v>
      </c>
      <c r="AW74" s="5" t="s">
        <v>88</v>
      </c>
      <c r="AY74" s="6" t="s">
        <v>732</v>
      </c>
      <c r="AZ74">
        <v>4.04</v>
      </c>
      <c r="BA74" s="5" t="s">
        <v>23</v>
      </c>
      <c r="BC74" s="6" t="s">
        <v>692</v>
      </c>
      <c r="BD74" s="13">
        <v>6.7600000000000004E-10</v>
      </c>
      <c r="BE74" s="5" t="s">
        <v>88</v>
      </c>
      <c r="BG74" s="6" t="s">
        <v>691</v>
      </c>
      <c r="BH74" s="13">
        <v>0.2</v>
      </c>
      <c r="BI74" s="5" t="s">
        <v>237</v>
      </c>
    </row>
    <row r="75" spans="2:105" x14ac:dyDescent="0.25">
      <c r="C75" s="6" t="s">
        <v>567</v>
      </c>
      <c r="D75">
        <f>3.8*10^(-10)</f>
        <v>3.7999999999999998E-10</v>
      </c>
      <c r="E75" s="5" t="s">
        <v>88</v>
      </c>
      <c r="G75" s="59" t="s">
        <v>686</v>
      </c>
      <c r="H75">
        <v>23.89</v>
      </c>
      <c r="I75" s="5" t="s">
        <v>23</v>
      </c>
      <c r="K75" s="6" t="s">
        <v>418</v>
      </c>
      <c r="L75">
        <v>9.0999999999999998E-2</v>
      </c>
      <c r="M75" s="5" t="s">
        <v>23</v>
      </c>
      <c r="O75" s="6" t="s">
        <v>245</v>
      </c>
      <c r="P75" s="13">
        <v>4.3999999999999998E-10</v>
      </c>
      <c r="Q75" s="5" t="s">
        <v>88</v>
      </c>
      <c r="S75" s="6" t="s">
        <v>488</v>
      </c>
      <c r="T75">
        <v>2.7673757E-2</v>
      </c>
      <c r="U75" s="5" t="s">
        <v>23</v>
      </c>
      <c r="W75" s="6" t="s">
        <v>239</v>
      </c>
      <c r="X75">
        <v>0.177777777</v>
      </c>
      <c r="Y75" s="5" t="s">
        <v>23</v>
      </c>
      <c r="AA75" s="6" t="s">
        <v>703</v>
      </c>
      <c r="AB75" s="13">
        <v>0.01</v>
      </c>
      <c r="AC75" s="5" t="s">
        <v>23</v>
      </c>
      <c r="AE75" s="6" t="s">
        <v>717</v>
      </c>
      <c r="AF75">
        <v>1.8284999999999999E-2</v>
      </c>
      <c r="AG75" s="5" t="s">
        <v>23</v>
      </c>
      <c r="AI75" s="6" t="s">
        <v>723</v>
      </c>
      <c r="AJ75">
        <v>0.66700000000000004</v>
      </c>
      <c r="AK75" s="5" t="s">
        <v>23</v>
      </c>
      <c r="AM75" s="6" t="s">
        <v>691</v>
      </c>
      <c r="AN75" s="13">
        <v>0.6</v>
      </c>
      <c r="AO75" s="5" t="s">
        <v>237</v>
      </c>
      <c r="AQ75" s="6" t="s">
        <v>524</v>
      </c>
      <c r="AR75" s="13">
        <v>0.32</v>
      </c>
      <c r="AS75" s="5" t="s">
        <v>23</v>
      </c>
      <c r="AU75" s="6" t="s">
        <v>743</v>
      </c>
      <c r="AV75" s="13">
        <v>0.1</v>
      </c>
      <c r="AW75" s="5" t="s">
        <v>237</v>
      </c>
      <c r="AY75" s="6" t="s">
        <v>716</v>
      </c>
      <c r="AZ75" s="13">
        <v>1.25E-3</v>
      </c>
      <c r="BA75" s="73" t="s">
        <v>23</v>
      </c>
      <c r="BC75" s="76" t="s">
        <v>587</v>
      </c>
      <c r="BD75" s="77"/>
      <c r="BE75" s="78"/>
      <c r="BG75" s="6" t="s">
        <v>743</v>
      </c>
      <c r="BH75" s="13">
        <v>0.1</v>
      </c>
      <c r="BI75" s="5" t="s">
        <v>237</v>
      </c>
    </row>
    <row r="76" spans="2:105" ht="15.75" thickBot="1" x14ac:dyDescent="0.3">
      <c r="C76" s="6" t="s">
        <v>578</v>
      </c>
      <c r="D76">
        <v>0.25</v>
      </c>
      <c r="E76" s="5" t="s">
        <v>23</v>
      </c>
      <c r="G76" s="59" t="s">
        <v>687</v>
      </c>
      <c r="H76">
        <v>20.46</v>
      </c>
      <c r="I76" s="5" t="s">
        <v>23</v>
      </c>
      <c r="K76" s="6" t="s">
        <v>615</v>
      </c>
      <c r="L76">
        <v>0.91</v>
      </c>
      <c r="M76" s="5" t="s">
        <v>23</v>
      </c>
      <c r="O76" s="6" t="s">
        <v>618</v>
      </c>
      <c r="P76">
        <v>0.97</v>
      </c>
      <c r="Q76" s="5" t="s">
        <v>23</v>
      </c>
      <c r="S76" s="6" t="s">
        <v>511</v>
      </c>
      <c r="T76">
        <v>7.7499999999999999E-2</v>
      </c>
      <c r="U76" s="5" t="s">
        <v>23</v>
      </c>
      <c r="W76" s="6" t="s">
        <v>77</v>
      </c>
      <c r="X76">
        <v>1.8311999999999998E-2</v>
      </c>
      <c r="Y76" s="5" t="s">
        <v>195</v>
      </c>
      <c r="AA76" s="6" t="s">
        <v>704</v>
      </c>
      <c r="AB76" s="13">
        <v>5.0400000000000002E-3</v>
      </c>
      <c r="AC76" s="5" t="s">
        <v>23</v>
      </c>
      <c r="AE76" s="6" t="s">
        <v>697</v>
      </c>
      <c r="AF76">
        <v>6.7790000000000003E-2</v>
      </c>
      <c r="AG76" s="5" t="s">
        <v>23</v>
      </c>
      <c r="AI76" s="6" t="s">
        <v>716</v>
      </c>
      <c r="AJ76">
        <v>0.8911</v>
      </c>
      <c r="AK76" s="5" t="s">
        <v>23</v>
      </c>
      <c r="AM76" s="6" t="s">
        <v>690</v>
      </c>
      <c r="AN76" s="13">
        <v>0.1</v>
      </c>
      <c r="AO76" s="5" t="s">
        <v>237</v>
      </c>
      <c r="AQ76" s="6" t="s">
        <v>639</v>
      </c>
      <c r="AR76" s="13">
        <v>2.5000000000000001E-2</v>
      </c>
      <c r="AS76" s="5" t="s">
        <v>23</v>
      </c>
      <c r="AU76" s="6" t="s">
        <v>691</v>
      </c>
      <c r="AV76" s="13">
        <v>0.2</v>
      </c>
      <c r="AW76" s="5" t="s">
        <v>237</v>
      </c>
      <c r="AY76" s="6" t="s">
        <v>733</v>
      </c>
      <c r="AZ76">
        <v>7.44</v>
      </c>
      <c r="BA76" s="73" t="s">
        <v>23</v>
      </c>
      <c r="BC76" s="23" t="s">
        <v>728</v>
      </c>
      <c r="BD76" s="24">
        <v>1</v>
      </c>
      <c r="BE76" s="25" t="s">
        <v>23</v>
      </c>
      <c r="BG76" s="6" t="s">
        <v>742</v>
      </c>
      <c r="BH76" s="13">
        <v>1.5E-10</v>
      </c>
      <c r="BI76" s="5" t="s">
        <v>88</v>
      </c>
    </row>
    <row r="77" spans="2:105" x14ac:dyDescent="0.25">
      <c r="C77" s="6" t="s">
        <v>580</v>
      </c>
      <c r="D77">
        <f>1.3*10^(-10)</f>
        <v>1.3000000000000002E-10</v>
      </c>
      <c r="E77" s="5" t="s">
        <v>88</v>
      </c>
      <c r="G77" s="6" t="s">
        <v>688</v>
      </c>
      <c r="H77">
        <v>8.3000000000000007</v>
      </c>
      <c r="I77" s="5" t="s">
        <v>23</v>
      </c>
      <c r="K77" s="6" t="s">
        <v>616</v>
      </c>
      <c r="L77" s="13">
        <v>6.7000000000000001E-11</v>
      </c>
      <c r="M77" s="5" t="s">
        <v>88</v>
      </c>
      <c r="O77" s="6" t="s">
        <v>616</v>
      </c>
      <c r="P77" s="13">
        <v>2.3000000000000001E-11</v>
      </c>
      <c r="Q77" s="5" t="s">
        <v>88</v>
      </c>
      <c r="S77" s="6" t="s">
        <v>697</v>
      </c>
      <c r="T77">
        <v>7.7499999999999999E-2</v>
      </c>
      <c r="U77" s="5" t="s">
        <v>23</v>
      </c>
      <c r="W77" s="6" t="s">
        <v>689</v>
      </c>
      <c r="X77">
        <v>1.8888</v>
      </c>
      <c r="Y77" s="5" t="s">
        <v>27</v>
      </c>
      <c r="AA77" s="6" t="s">
        <v>692</v>
      </c>
      <c r="AB77" s="13">
        <v>4.0000000000000001E-10</v>
      </c>
      <c r="AC77" s="5" t="s">
        <v>88</v>
      </c>
      <c r="AE77" s="6" t="s">
        <v>511</v>
      </c>
      <c r="AF77">
        <v>6.7790000000000003E-2</v>
      </c>
      <c r="AG77" s="5" t="s">
        <v>23</v>
      </c>
      <c r="AI77" s="6" t="s">
        <v>239</v>
      </c>
      <c r="AJ77">
        <v>3.1716000000000002</v>
      </c>
      <c r="AK77" s="5" t="s">
        <v>23</v>
      </c>
      <c r="AM77" s="6"/>
      <c r="AO77" s="5"/>
      <c r="AQ77" s="6" t="s">
        <v>566</v>
      </c>
      <c r="AR77" s="13">
        <v>0.47</v>
      </c>
      <c r="AS77" s="5" t="s">
        <v>23</v>
      </c>
      <c r="AU77" s="6"/>
      <c r="AW77" s="5"/>
      <c r="AY77" s="6" t="s">
        <v>692</v>
      </c>
      <c r="AZ77" s="13">
        <v>4.0000000000000001E-10</v>
      </c>
      <c r="BA77" s="73" t="s">
        <v>88</v>
      </c>
      <c r="BC77" s="6"/>
      <c r="BE77" s="5"/>
      <c r="BG77" s="6"/>
      <c r="BI77" s="5"/>
    </row>
    <row r="78" spans="2:105" x14ac:dyDescent="0.25">
      <c r="C78" s="6" t="s">
        <v>569</v>
      </c>
      <c r="D78">
        <v>0.14499999999999999</v>
      </c>
      <c r="E78" s="5" t="s">
        <v>450</v>
      </c>
      <c r="G78" s="6" t="s">
        <v>692</v>
      </c>
      <c r="H78" s="13">
        <v>4.2E-10</v>
      </c>
      <c r="I78" s="5" t="s">
        <v>88</v>
      </c>
      <c r="K78" s="6" t="s">
        <v>569</v>
      </c>
      <c r="L78">
        <v>0.15</v>
      </c>
      <c r="M78" s="5" t="s">
        <v>450</v>
      </c>
      <c r="O78" s="6" t="s">
        <v>569</v>
      </c>
      <c r="P78">
        <v>0.15</v>
      </c>
      <c r="Q78" s="5" t="s">
        <v>450</v>
      </c>
      <c r="S78" s="6" t="s">
        <v>567</v>
      </c>
      <c r="T78" s="13">
        <v>4.5800000000000002E-10</v>
      </c>
      <c r="U78" s="5" t="s">
        <v>88</v>
      </c>
      <c r="W78" s="6" t="s">
        <v>691</v>
      </c>
      <c r="X78">
        <v>0.31885999999999998</v>
      </c>
      <c r="Y78" s="5" t="s">
        <v>237</v>
      </c>
      <c r="AA78" s="6" t="s">
        <v>239</v>
      </c>
      <c r="AB78">
        <v>1.8</v>
      </c>
      <c r="AC78" s="5" t="s">
        <v>23</v>
      </c>
      <c r="AE78" s="6" t="s">
        <v>567</v>
      </c>
      <c r="AF78" s="13">
        <v>4.5800000000000002E-10</v>
      </c>
      <c r="AG78" s="5" t="s">
        <v>88</v>
      </c>
      <c r="AI78" s="6" t="s">
        <v>692</v>
      </c>
      <c r="AJ78" s="13">
        <v>3.73E-10</v>
      </c>
      <c r="AK78" s="5" t="s">
        <v>88</v>
      </c>
      <c r="AM78" s="76" t="s">
        <v>587</v>
      </c>
      <c r="AN78" s="77"/>
      <c r="AO78" s="78"/>
      <c r="AQ78" s="6" t="s">
        <v>697</v>
      </c>
      <c r="AR78" s="13">
        <v>0.5</v>
      </c>
      <c r="AS78" s="5" t="s">
        <v>23</v>
      </c>
      <c r="AU78" s="76" t="s">
        <v>587</v>
      </c>
      <c r="AV78" s="77"/>
      <c r="AW78" s="78"/>
      <c r="AY78" s="6" t="s">
        <v>690</v>
      </c>
      <c r="AZ78">
        <v>1.38</v>
      </c>
      <c r="BA78" s="73" t="s">
        <v>237</v>
      </c>
      <c r="BG78" s="76" t="s">
        <v>587</v>
      </c>
      <c r="BH78" s="77"/>
      <c r="BI78" s="78"/>
    </row>
    <row r="79" spans="2:105" ht="15.75" thickBot="1" x14ac:dyDescent="0.3">
      <c r="C79" s="6" t="s">
        <v>570</v>
      </c>
      <c r="D79">
        <v>0.14499999999999999</v>
      </c>
      <c r="E79" s="5" t="s">
        <v>450</v>
      </c>
      <c r="G79" s="6" t="s">
        <v>77</v>
      </c>
      <c r="H79">
        <v>4000</v>
      </c>
      <c r="I79" s="5" t="s">
        <v>195</v>
      </c>
      <c r="K79" s="6" t="s">
        <v>570</v>
      </c>
      <c r="L79">
        <v>0.15</v>
      </c>
      <c r="M79" s="5" t="s">
        <v>450</v>
      </c>
      <c r="O79" s="6" t="s">
        <v>570</v>
      </c>
      <c r="P79" s="72">
        <v>0.15</v>
      </c>
      <c r="Q79" s="5" t="s">
        <v>450</v>
      </c>
      <c r="S79" s="6" t="s">
        <v>239</v>
      </c>
      <c r="T79">
        <v>0.36899999999999999</v>
      </c>
      <c r="U79" s="5" t="s">
        <v>23</v>
      </c>
      <c r="W79" s="6" t="s">
        <v>690</v>
      </c>
      <c r="X79">
        <v>0.15942999999999999</v>
      </c>
      <c r="Y79" s="5" t="s">
        <v>237</v>
      </c>
      <c r="AA79" s="6" t="s">
        <v>77</v>
      </c>
      <c r="AB79" s="13">
        <v>0.55000000000000004</v>
      </c>
      <c r="AC79" s="5" t="s">
        <v>195</v>
      </c>
      <c r="AE79" s="6" t="s">
        <v>691</v>
      </c>
      <c r="AF79">
        <v>4.6459E-2</v>
      </c>
      <c r="AG79" s="5" t="s">
        <v>237</v>
      </c>
      <c r="AI79" s="6" t="s">
        <v>77</v>
      </c>
      <c r="AJ79">
        <v>5.5999999999999999E-3</v>
      </c>
      <c r="AK79" s="5" t="s">
        <v>195</v>
      </c>
      <c r="AM79" s="23" t="s">
        <v>427</v>
      </c>
      <c r="AN79" s="24">
        <v>1</v>
      </c>
      <c r="AO79" s="25" t="s">
        <v>23</v>
      </c>
      <c r="AQ79" s="6" t="s">
        <v>742</v>
      </c>
      <c r="AR79" s="13">
        <v>7.7000000000000006E-11</v>
      </c>
      <c r="AS79" s="5" t="s">
        <v>88</v>
      </c>
      <c r="AU79" s="23" t="s">
        <v>719</v>
      </c>
      <c r="AV79" s="24">
        <v>1</v>
      </c>
      <c r="AW79" s="25" t="s">
        <v>23</v>
      </c>
      <c r="AY79" s="6" t="s">
        <v>691</v>
      </c>
      <c r="AZ79">
        <v>8.27</v>
      </c>
      <c r="BA79" s="5" t="s">
        <v>237</v>
      </c>
      <c r="BG79" s="23" t="s">
        <v>687</v>
      </c>
      <c r="BH79" s="24">
        <v>1</v>
      </c>
      <c r="BI79" s="25" t="s">
        <v>23</v>
      </c>
    </row>
    <row r="80" spans="2:105" x14ac:dyDescent="0.25">
      <c r="C80" s="6"/>
      <c r="E80" s="5"/>
      <c r="G80" s="6" t="s">
        <v>690</v>
      </c>
      <c r="H80">
        <v>0.08</v>
      </c>
      <c r="I80" s="5" t="s">
        <v>237</v>
      </c>
      <c r="K80" s="6"/>
      <c r="M80" s="5"/>
      <c r="O80" s="6"/>
      <c r="P80" s="13"/>
      <c r="Q80" s="5"/>
      <c r="S80" s="6" t="s">
        <v>690</v>
      </c>
      <c r="T80">
        <v>0.1</v>
      </c>
      <c r="U80" s="5" t="s">
        <v>237</v>
      </c>
      <c r="W80" s="6"/>
      <c r="X80" s="13"/>
      <c r="Y80" s="5"/>
      <c r="AA80" s="6" t="s">
        <v>689</v>
      </c>
      <c r="AB80">
        <v>13.75</v>
      </c>
      <c r="AC80" s="5" t="s">
        <v>27</v>
      </c>
      <c r="AE80" s="6" t="s">
        <v>690</v>
      </c>
      <c r="AF80">
        <v>9.6610510999999996E-2</v>
      </c>
      <c r="AG80" s="5" t="s">
        <v>237</v>
      </c>
      <c r="AI80" s="6" t="s">
        <v>229</v>
      </c>
      <c r="AJ80">
        <v>17.345500000000001</v>
      </c>
      <c r="AK80" s="5" t="s">
        <v>27</v>
      </c>
      <c r="AQ80" s="6" t="s">
        <v>580</v>
      </c>
      <c r="AR80" s="13">
        <v>3.4999999999999998E-10</v>
      </c>
      <c r="AS80" s="5" t="s">
        <v>88</v>
      </c>
      <c r="AY80" s="6"/>
      <c r="BA80" s="5"/>
    </row>
    <row r="81" spans="2:63" x14ac:dyDescent="0.25">
      <c r="C81" s="56" t="s">
        <v>182</v>
      </c>
      <c r="D81" s="57"/>
      <c r="E81" s="58"/>
      <c r="G81" s="6" t="s">
        <v>691</v>
      </c>
      <c r="H81">
        <v>0.45</v>
      </c>
      <c r="I81" s="5" t="s">
        <v>237</v>
      </c>
      <c r="K81" s="76" t="s">
        <v>587</v>
      </c>
      <c r="L81" s="77"/>
      <c r="M81" s="78"/>
      <c r="O81" s="76" t="s">
        <v>587</v>
      </c>
      <c r="P81" s="77"/>
      <c r="Q81" s="78"/>
      <c r="S81" s="6" t="s">
        <v>691</v>
      </c>
      <c r="T81" s="32">
        <v>0.55800000000000005</v>
      </c>
      <c r="U81" s="5" t="s">
        <v>237</v>
      </c>
      <c r="W81" s="76" t="s">
        <v>587</v>
      </c>
      <c r="X81" s="77"/>
      <c r="Y81" s="78"/>
      <c r="AA81" s="6" t="s">
        <v>690</v>
      </c>
      <c r="AB81" s="13">
        <v>0.105</v>
      </c>
      <c r="AC81" s="5" t="s">
        <v>237</v>
      </c>
      <c r="AI81" s="6" t="s">
        <v>690</v>
      </c>
      <c r="AJ81">
        <v>0.63939999999999997</v>
      </c>
      <c r="AK81" s="5" t="s">
        <v>237</v>
      </c>
      <c r="AQ81" s="6"/>
      <c r="AS81" s="5"/>
      <c r="AY81" s="76" t="s">
        <v>587</v>
      </c>
      <c r="AZ81" s="77"/>
      <c r="BA81" s="78"/>
    </row>
    <row r="82" spans="2:63" ht="15.75" thickBot="1" x14ac:dyDescent="0.3">
      <c r="C82" s="53" t="s">
        <v>684</v>
      </c>
      <c r="D82" s="54">
        <v>1</v>
      </c>
      <c r="E82" s="55" t="s">
        <v>23</v>
      </c>
      <c r="G82" s="6"/>
      <c r="I82" s="5"/>
      <c r="K82" s="23" t="s">
        <v>617</v>
      </c>
      <c r="L82" s="24">
        <v>1</v>
      </c>
      <c r="M82" s="25" t="s">
        <v>23</v>
      </c>
      <c r="O82" s="23" t="s">
        <v>563</v>
      </c>
      <c r="P82" s="24">
        <v>1</v>
      </c>
      <c r="Q82" s="25" t="s">
        <v>23</v>
      </c>
      <c r="W82" s="26" t="s">
        <v>696</v>
      </c>
      <c r="X82" s="27">
        <v>1</v>
      </c>
      <c r="Y82" s="28" t="s">
        <v>23</v>
      </c>
      <c r="AA82" s="6" t="s">
        <v>691</v>
      </c>
      <c r="AB82" s="13">
        <v>0.627</v>
      </c>
      <c r="AC82" s="5" t="s">
        <v>237</v>
      </c>
      <c r="AE82" s="76" t="s">
        <v>587</v>
      </c>
      <c r="AF82" s="77"/>
      <c r="AG82" s="78"/>
      <c r="AI82" s="6" t="s">
        <v>691</v>
      </c>
      <c r="AJ82">
        <v>3.6617999999999999</v>
      </c>
      <c r="AK82" s="5" t="s">
        <v>237</v>
      </c>
      <c r="AQ82" s="76" t="s">
        <v>587</v>
      </c>
      <c r="AR82" s="77"/>
      <c r="AS82" s="78"/>
      <c r="AY82" s="26" t="s">
        <v>729</v>
      </c>
      <c r="AZ82" s="27">
        <v>1</v>
      </c>
      <c r="BA82" s="28" t="s">
        <v>23</v>
      </c>
    </row>
    <row r="83" spans="2:63" ht="15.75" thickBot="1" x14ac:dyDescent="0.3">
      <c r="C83" s="100"/>
      <c r="D83" s="100"/>
      <c r="E83" s="100"/>
      <c r="G83" s="47" t="s">
        <v>587</v>
      </c>
      <c r="H83" s="71"/>
      <c r="I83" s="68"/>
      <c r="S83" s="47" t="s">
        <v>587</v>
      </c>
      <c r="T83" s="71"/>
      <c r="U83" s="68"/>
      <c r="W83" s="6" t="s">
        <v>712</v>
      </c>
      <c r="X83">
        <v>4.4443999999999999E-4</v>
      </c>
      <c r="Y83" s="5" t="s">
        <v>23</v>
      </c>
      <c r="AA83" s="6" t="s">
        <v>707</v>
      </c>
      <c r="AB83" s="13">
        <v>0.25</v>
      </c>
      <c r="AC83" s="5" t="s">
        <v>69</v>
      </c>
      <c r="AE83" s="26" t="s">
        <v>693</v>
      </c>
      <c r="AF83" s="27">
        <v>1</v>
      </c>
      <c r="AG83" s="28" t="s">
        <v>23</v>
      </c>
      <c r="AI83" s="6"/>
      <c r="AK83" s="5"/>
      <c r="AQ83" s="23" t="s">
        <v>686</v>
      </c>
      <c r="AR83" s="24">
        <v>1</v>
      </c>
      <c r="AS83" s="25" t="s">
        <v>23</v>
      </c>
      <c r="AY83" s="6" t="s">
        <v>735</v>
      </c>
      <c r="AZ83" s="13">
        <v>0.26300000000000001</v>
      </c>
      <c r="BA83" s="5" t="s">
        <v>23</v>
      </c>
    </row>
    <row r="84" spans="2:63" ht="15.75" thickBot="1" x14ac:dyDescent="0.3">
      <c r="C84" s="69"/>
      <c r="D84" s="34"/>
      <c r="E84" s="34"/>
      <c r="G84" s="23" t="s">
        <v>685</v>
      </c>
      <c r="H84" s="24">
        <v>158.29</v>
      </c>
      <c r="I84" s="25" t="s">
        <v>695</v>
      </c>
      <c r="S84" s="26" t="s">
        <v>711</v>
      </c>
      <c r="T84" s="27">
        <v>1</v>
      </c>
      <c r="U84" s="28" t="s">
        <v>23</v>
      </c>
      <c r="W84" s="7" t="s">
        <v>713</v>
      </c>
      <c r="X84" s="8">
        <v>1.77777777E-2</v>
      </c>
      <c r="Y84" s="9" t="s">
        <v>69</v>
      </c>
      <c r="AA84" s="6"/>
      <c r="AC84" s="5"/>
      <c r="AI84" s="76" t="s">
        <v>587</v>
      </c>
      <c r="AJ84" s="77"/>
      <c r="AK84" s="78"/>
      <c r="AY84" s="6" t="s">
        <v>736</v>
      </c>
      <c r="AZ84">
        <v>8.69</v>
      </c>
      <c r="BA84" s="5" t="s">
        <v>23</v>
      </c>
      <c r="BC84" s="77"/>
      <c r="BD84" s="77"/>
      <c r="BE84" s="77"/>
    </row>
    <row r="85" spans="2:63" ht="15.75" thickBot="1" x14ac:dyDescent="0.3">
      <c r="C85" s="50"/>
      <c r="D85" s="32"/>
      <c r="E85" s="32"/>
      <c r="S85" s="7" t="s">
        <v>714</v>
      </c>
      <c r="T85" s="8">
        <v>0.36898343099999997</v>
      </c>
      <c r="U85" s="9" t="s">
        <v>23</v>
      </c>
      <c r="AA85" s="76" t="s">
        <v>587</v>
      </c>
      <c r="AB85" s="77"/>
      <c r="AC85" s="78"/>
      <c r="AI85" s="26" t="s">
        <v>719</v>
      </c>
      <c r="AJ85" s="27">
        <v>1</v>
      </c>
      <c r="AK85" s="28" t="s">
        <v>23</v>
      </c>
      <c r="AY85" s="7" t="s">
        <v>737</v>
      </c>
      <c r="AZ85" s="61">
        <v>3.6099999999999999E-3</v>
      </c>
      <c r="BA85" s="9" t="s">
        <v>69</v>
      </c>
      <c r="BC85" s="27"/>
      <c r="BD85" s="27"/>
      <c r="BE85" s="27"/>
    </row>
    <row r="86" spans="2:63" x14ac:dyDescent="0.25">
      <c r="C86" s="50"/>
      <c r="D86" s="32"/>
      <c r="E86" s="32"/>
      <c r="O86" s="18"/>
      <c r="P86" s="18"/>
      <c r="Q86" s="18"/>
      <c r="AA86" s="26" t="s">
        <v>699</v>
      </c>
      <c r="AB86" s="27">
        <v>1</v>
      </c>
      <c r="AC86" s="28" t="s">
        <v>23</v>
      </c>
      <c r="AI86" s="6" t="s">
        <v>725</v>
      </c>
      <c r="AJ86">
        <v>3.1775000000000002</v>
      </c>
      <c r="AK86" s="5" t="s">
        <v>23</v>
      </c>
    </row>
    <row r="87" spans="2:63" x14ac:dyDescent="0.25">
      <c r="C87" s="50"/>
      <c r="D87" s="32"/>
      <c r="E87" s="32"/>
      <c r="O87" s="27"/>
      <c r="P87" s="27"/>
      <c r="Q87" s="27"/>
      <c r="AA87" s="6" t="s">
        <v>708</v>
      </c>
      <c r="AB87">
        <v>15.73</v>
      </c>
      <c r="AC87" s="73" t="s">
        <v>27</v>
      </c>
      <c r="AI87" s="6" t="s">
        <v>212</v>
      </c>
      <c r="AJ87">
        <v>3.1716000000000002</v>
      </c>
      <c r="AK87" s="5" t="s">
        <v>23</v>
      </c>
    </row>
    <row r="88" spans="2:63" x14ac:dyDescent="0.25">
      <c r="C88" s="50"/>
      <c r="D88" s="32"/>
      <c r="E88" s="32"/>
      <c r="H88">
        <f>SUM(H72:H77)</f>
        <v>1007.7199999999999</v>
      </c>
      <c r="I88">
        <f>H88/H84</f>
        <v>6.3662897213974352</v>
      </c>
      <c r="J88" t="s">
        <v>745</v>
      </c>
      <c r="AA88" s="6" t="s">
        <v>637</v>
      </c>
      <c r="AB88" s="13">
        <v>1.44E-2</v>
      </c>
      <c r="AC88" s="73" t="s">
        <v>23</v>
      </c>
      <c r="AI88" s="6" t="s">
        <v>653</v>
      </c>
      <c r="AJ88">
        <v>0.29049999999999998</v>
      </c>
      <c r="AK88" s="5" t="s">
        <v>23</v>
      </c>
    </row>
    <row r="89" spans="2:63" ht="15.75" thickBot="1" x14ac:dyDescent="0.3">
      <c r="B89" t="s">
        <v>84</v>
      </c>
      <c r="C89" t="s">
        <v>584</v>
      </c>
      <c r="AA89" s="7" t="s">
        <v>709</v>
      </c>
      <c r="AB89" s="8">
        <v>1.8</v>
      </c>
      <c r="AC89" s="9" t="s">
        <v>69</v>
      </c>
      <c r="AI89" s="7" t="s">
        <v>708</v>
      </c>
      <c r="AJ89" s="8">
        <v>17.365600000000001</v>
      </c>
      <c r="AK89" s="9" t="s">
        <v>27</v>
      </c>
    </row>
    <row r="90" spans="2:63" x14ac:dyDescent="0.25">
      <c r="C90" t="s">
        <v>610</v>
      </c>
    </row>
    <row r="91" spans="2:63" x14ac:dyDescent="0.25">
      <c r="C91" t="s">
        <v>746</v>
      </c>
      <c r="AB91" s="13"/>
    </row>
    <row r="92" spans="2:63" x14ac:dyDescent="0.25">
      <c r="C92" t="s">
        <v>747</v>
      </c>
      <c r="BK92" s="13"/>
    </row>
    <row r="93" spans="2:63" x14ac:dyDescent="0.25">
      <c r="C93" t="s">
        <v>750</v>
      </c>
      <c r="BK93" s="13"/>
    </row>
    <row r="94" spans="2:63" x14ac:dyDescent="0.25">
      <c r="C94" t="s">
        <v>669</v>
      </c>
      <c r="BK94" s="13"/>
    </row>
    <row r="95" spans="2:63" x14ac:dyDescent="0.25">
      <c r="C95" t="s">
        <v>751</v>
      </c>
    </row>
    <row r="98" spans="18:56" x14ac:dyDescent="0.25">
      <c r="BD98" s="13"/>
    </row>
    <row r="99" spans="18:56" x14ac:dyDescent="0.25">
      <c r="AH99" s="13"/>
      <c r="BD99" s="13"/>
    </row>
    <row r="100" spans="18:56" x14ac:dyDescent="0.25">
      <c r="AH100" s="13"/>
      <c r="BD100" s="13"/>
    </row>
    <row r="101" spans="18:56" x14ac:dyDescent="0.25">
      <c r="AH101" s="13"/>
      <c r="BA101" s="13"/>
      <c r="BD101" s="13"/>
    </row>
    <row r="102" spans="18:56" x14ac:dyDescent="0.25">
      <c r="AH102" s="13"/>
      <c r="AM102" s="13"/>
      <c r="BD102" s="13"/>
    </row>
    <row r="103" spans="18:56" x14ac:dyDescent="0.25">
      <c r="AG103" s="13"/>
      <c r="AH103" s="13"/>
    </row>
    <row r="104" spans="18:56" x14ac:dyDescent="0.25">
      <c r="R104" s="13"/>
      <c r="AH104" s="13"/>
    </row>
    <row r="105" spans="18:56" x14ac:dyDescent="0.25">
      <c r="AM105" s="13"/>
      <c r="AN105" s="13"/>
    </row>
    <row r="106" spans="18:56" x14ac:dyDescent="0.25">
      <c r="AH106" s="13"/>
      <c r="AJ106" s="13"/>
      <c r="AN106" s="13"/>
    </row>
    <row r="107" spans="18:56" x14ac:dyDescent="0.25">
      <c r="AM107" s="13"/>
      <c r="AN107" s="13"/>
    </row>
    <row r="108" spans="18:56" x14ac:dyDescent="0.25">
      <c r="AH108" s="13"/>
      <c r="AM108" s="13"/>
      <c r="AN108" s="13"/>
      <c r="AX108" s="13"/>
    </row>
    <row r="109" spans="18:56" x14ac:dyDescent="0.25">
      <c r="AH109" s="13"/>
      <c r="AN109" s="13"/>
      <c r="AX109" s="13"/>
    </row>
    <row r="110" spans="18:56" x14ac:dyDescent="0.25">
      <c r="AX110" s="13"/>
    </row>
    <row r="111" spans="18:56" x14ac:dyDescent="0.25">
      <c r="AX111" s="13"/>
    </row>
  </sheetData>
  <mergeCells count="72">
    <mergeCell ref="K81:M81"/>
    <mergeCell ref="O81:Q81"/>
    <mergeCell ref="C83:E83"/>
    <mergeCell ref="B13:B22"/>
    <mergeCell ref="B23:B28"/>
    <mergeCell ref="B31:E31"/>
    <mergeCell ref="C69:E69"/>
    <mergeCell ref="G69:I69"/>
    <mergeCell ref="K69:M69"/>
    <mergeCell ref="O69:Q69"/>
    <mergeCell ref="C70:E70"/>
    <mergeCell ref="G70:I70"/>
    <mergeCell ref="K70:M70"/>
    <mergeCell ref="O70:Q70"/>
    <mergeCell ref="B47:B54"/>
    <mergeCell ref="B55:B60"/>
    <mergeCell ref="B62:E62"/>
    <mergeCell ref="B43:D43"/>
    <mergeCell ref="G43:I43"/>
    <mergeCell ref="H44:L44"/>
    <mergeCell ref="B45:E45"/>
    <mergeCell ref="I45:J45"/>
    <mergeCell ref="K45:L45"/>
    <mergeCell ref="B41:E41"/>
    <mergeCell ref="G41:L41"/>
    <mergeCell ref="B42:D42"/>
    <mergeCell ref="G42:I42"/>
    <mergeCell ref="B9:D9"/>
    <mergeCell ref="G9:I9"/>
    <mergeCell ref="H10:L10"/>
    <mergeCell ref="B11:E11"/>
    <mergeCell ref="I11:J11"/>
    <mergeCell ref="K11:L11"/>
    <mergeCell ref="B2:C2"/>
    <mergeCell ref="C3:C5"/>
    <mergeCell ref="B7:E7"/>
    <mergeCell ref="G7:L7"/>
    <mergeCell ref="B8:D8"/>
    <mergeCell ref="G8:I8"/>
    <mergeCell ref="S69:U69"/>
    <mergeCell ref="S70:U70"/>
    <mergeCell ref="W69:Y69"/>
    <mergeCell ref="W70:Y70"/>
    <mergeCell ref="W81:Y81"/>
    <mergeCell ref="AQ82:AS82"/>
    <mergeCell ref="AI69:AK69"/>
    <mergeCell ref="AI70:AK70"/>
    <mergeCell ref="AA85:AC85"/>
    <mergeCell ref="AE82:AG82"/>
    <mergeCell ref="AI84:AK84"/>
    <mergeCell ref="AA69:AC69"/>
    <mergeCell ref="AA70:AC70"/>
    <mergeCell ref="AE69:AG69"/>
    <mergeCell ref="AE70:AG70"/>
    <mergeCell ref="AY81:BA81"/>
    <mergeCell ref="AM69:AO69"/>
    <mergeCell ref="AM70:AO70"/>
    <mergeCell ref="AM78:AO78"/>
    <mergeCell ref="AQ69:AS69"/>
    <mergeCell ref="AQ70:AS70"/>
    <mergeCell ref="AU69:AW69"/>
    <mergeCell ref="AU70:AW70"/>
    <mergeCell ref="AU78:AW78"/>
    <mergeCell ref="AY69:BA69"/>
    <mergeCell ref="AY70:BA70"/>
    <mergeCell ref="BC69:BE69"/>
    <mergeCell ref="BC70:BE70"/>
    <mergeCell ref="BC84:BE84"/>
    <mergeCell ref="BC75:BE75"/>
    <mergeCell ref="BG69:BI69"/>
    <mergeCell ref="BG70:BI70"/>
    <mergeCell ref="BG78:BI7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82D1E-B92F-433B-80BB-891F8359DFE6}">
  <dimension ref="B2:J87"/>
  <sheetViews>
    <sheetView topLeftCell="A57" workbookViewId="0">
      <selection activeCell="B68" sqref="B68"/>
    </sheetView>
  </sheetViews>
  <sheetFormatPr defaultRowHeight="15" x14ac:dyDescent="0.25"/>
  <cols>
    <col min="2" max="2" width="12.7109375" customWidth="1"/>
    <col min="3" max="3" width="47.42578125" customWidth="1"/>
    <col min="7" max="7" width="36.85546875" customWidth="1"/>
    <col min="8" max="8" width="12.42578125" customWidth="1"/>
    <col min="9" max="9" width="12.28515625" customWidth="1"/>
    <col min="10" max="10" width="37.5703125" customWidth="1"/>
  </cols>
  <sheetData>
    <row r="2" spans="2:10" x14ac:dyDescent="0.25">
      <c r="B2" s="85" t="s">
        <v>110</v>
      </c>
      <c r="C2" s="85"/>
      <c r="D2" s="1" t="s">
        <v>109</v>
      </c>
    </row>
    <row r="3" spans="2:10" x14ac:dyDescent="0.25">
      <c r="D3" t="s">
        <v>124</v>
      </c>
    </row>
    <row r="5" spans="2:10" ht="15.75" thickBot="1" x14ac:dyDescent="0.3"/>
    <row r="6" spans="2:10" x14ac:dyDescent="0.25">
      <c r="B6" s="86" t="s">
        <v>0</v>
      </c>
      <c r="C6" s="87"/>
      <c r="D6" s="87"/>
      <c r="E6" s="88"/>
      <c r="G6" s="86" t="s">
        <v>16</v>
      </c>
      <c r="H6" s="87"/>
      <c r="I6" s="87"/>
      <c r="J6" s="88"/>
    </row>
    <row r="7" spans="2:10" x14ac:dyDescent="0.25">
      <c r="B7" s="74" t="s">
        <v>6</v>
      </c>
      <c r="C7" s="75"/>
      <c r="D7" s="75"/>
      <c r="E7" s="5" t="s">
        <v>107</v>
      </c>
      <c r="G7" s="74" t="s">
        <v>36</v>
      </c>
      <c r="H7" s="75"/>
      <c r="I7" s="75"/>
      <c r="J7" s="5">
        <v>5</v>
      </c>
    </row>
    <row r="8" spans="2:10" x14ac:dyDescent="0.25">
      <c r="B8" s="74" t="s">
        <v>5</v>
      </c>
      <c r="C8" s="75"/>
      <c r="D8" s="75"/>
      <c r="E8" s="5" t="s">
        <v>8</v>
      </c>
      <c r="G8" s="74" t="s">
        <v>5</v>
      </c>
      <c r="H8" s="75"/>
      <c r="I8" s="75"/>
      <c r="J8" s="5" t="s">
        <v>8</v>
      </c>
    </row>
    <row r="9" spans="2:10" x14ac:dyDescent="0.25">
      <c r="B9" s="20"/>
      <c r="C9" s="21"/>
      <c r="D9" s="21"/>
      <c r="E9" s="12"/>
      <c r="G9" s="74" t="s">
        <v>71</v>
      </c>
      <c r="H9" s="75"/>
      <c r="I9" s="75"/>
      <c r="J9" s="5" t="s">
        <v>86</v>
      </c>
    </row>
    <row r="10" spans="2:10" x14ac:dyDescent="0.25">
      <c r="B10" s="76" t="s">
        <v>7</v>
      </c>
      <c r="C10" s="77"/>
      <c r="D10" s="77"/>
      <c r="E10" s="78"/>
      <c r="G10" s="74" t="s">
        <v>19</v>
      </c>
      <c r="H10" s="75"/>
      <c r="I10" s="75"/>
      <c r="J10" s="5" t="s">
        <v>21</v>
      </c>
    </row>
    <row r="11" spans="2:10" x14ac:dyDescent="0.25">
      <c r="B11" s="6" t="s">
        <v>9</v>
      </c>
      <c r="C11" t="s">
        <v>10</v>
      </c>
      <c r="D11" t="s">
        <v>11</v>
      </c>
      <c r="E11" s="5" t="s">
        <v>12</v>
      </c>
      <c r="G11" s="10" t="s">
        <v>17</v>
      </c>
      <c r="H11" s="11" t="s">
        <v>12</v>
      </c>
      <c r="I11" s="11" t="s">
        <v>18</v>
      </c>
      <c r="J11" s="12" t="s">
        <v>37</v>
      </c>
    </row>
    <row r="12" spans="2:10" x14ac:dyDescent="0.25">
      <c r="B12" s="6"/>
      <c r="C12" t="s">
        <v>87</v>
      </c>
      <c r="D12">
        <v>2</v>
      </c>
      <c r="E12" s="5" t="s">
        <v>88</v>
      </c>
      <c r="G12" s="6" t="s">
        <v>39</v>
      </c>
      <c r="H12" t="s">
        <v>40</v>
      </c>
      <c r="I12">
        <v>1737.9557</v>
      </c>
      <c r="J12" s="5">
        <f>I12/$J$7</f>
        <v>347.59114</v>
      </c>
    </row>
    <row r="13" spans="2:10" x14ac:dyDescent="0.25">
      <c r="B13" s="6"/>
      <c r="C13" t="s">
        <v>89</v>
      </c>
      <c r="D13">
        <v>7.4399999999999994E-2</v>
      </c>
      <c r="E13" s="5" t="s">
        <v>23</v>
      </c>
      <c r="G13" s="6" t="s">
        <v>41</v>
      </c>
      <c r="H13" t="s">
        <v>42</v>
      </c>
      <c r="I13">
        <v>1.9294727E-3</v>
      </c>
      <c r="J13" s="5">
        <f t="shared" ref="J13:J29" si="0">I13/$J$7</f>
        <v>3.8589454000000003E-4</v>
      </c>
    </row>
    <row r="14" spans="2:10" x14ac:dyDescent="0.25">
      <c r="B14" s="6"/>
      <c r="C14" t="s">
        <v>90</v>
      </c>
      <c r="D14" s="13">
        <v>0.223</v>
      </c>
      <c r="E14" s="5" t="s">
        <v>23</v>
      </c>
      <c r="G14" s="6" t="s">
        <v>43</v>
      </c>
      <c r="H14" t="s">
        <v>44</v>
      </c>
      <c r="I14">
        <v>80.835392999999996</v>
      </c>
      <c r="J14" s="5">
        <f t="shared" si="0"/>
        <v>16.1670786</v>
      </c>
    </row>
    <row r="15" spans="2:10" x14ac:dyDescent="0.25">
      <c r="B15" s="6"/>
      <c r="C15" t="s">
        <v>91</v>
      </c>
      <c r="D15" s="13">
        <v>0.29799999999999999</v>
      </c>
      <c r="E15" s="5" t="s">
        <v>23</v>
      </c>
      <c r="G15" s="6" t="s">
        <v>45</v>
      </c>
      <c r="H15" t="s">
        <v>46</v>
      </c>
      <c r="I15">
        <v>19.807312</v>
      </c>
      <c r="J15" s="5">
        <f t="shared" si="0"/>
        <v>3.9614623999999998</v>
      </c>
    </row>
    <row r="16" spans="2:10" x14ac:dyDescent="0.25">
      <c r="B16" s="6"/>
      <c r="C16" t="s">
        <v>92</v>
      </c>
      <c r="D16">
        <v>7.44</v>
      </c>
      <c r="E16" s="5" t="s">
        <v>23</v>
      </c>
      <c r="G16" s="6" t="s">
        <v>47</v>
      </c>
      <c r="H16" t="s">
        <v>48</v>
      </c>
      <c r="I16">
        <v>7.2971554999999997</v>
      </c>
      <c r="J16" s="5">
        <f t="shared" si="0"/>
        <v>1.4594311</v>
      </c>
    </row>
    <row r="17" spans="2:10" x14ac:dyDescent="0.25">
      <c r="B17" s="6"/>
      <c r="C17" t="s">
        <v>93</v>
      </c>
      <c r="D17">
        <v>1.488E-3</v>
      </c>
      <c r="E17" s="5" t="s">
        <v>23</v>
      </c>
      <c r="G17" s="6" t="s">
        <v>49</v>
      </c>
      <c r="H17" t="s">
        <v>46</v>
      </c>
      <c r="I17">
        <v>20.322702</v>
      </c>
      <c r="J17" s="5">
        <f t="shared" si="0"/>
        <v>4.0645404000000003</v>
      </c>
    </row>
    <row r="18" spans="2:10" x14ac:dyDescent="0.25">
      <c r="B18" s="6"/>
      <c r="C18" t="s">
        <v>94</v>
      </c>
      <c r="D18">
        <v>0.29759999999999998</v>
      </c>
      <c r="E18" s="5" t="s">
        <v>23</v>
      </c>
      <c r="G18" s="6" t="s">
        <v>50</v>
      </c>
      <c r="H18" t="s">
        <v>51</v>
      </c>
      <c r="I18">
        <v>18.683837</v>
      </c>
      <c r="J18" s="5">
        <f t="shared" si="0"/>
        <v>3.7367674000000002</v>
      </c>
    </row>
    <row r="19" spans="2:10" x14ac:dyDescent="0.25">
      <c r="B19" s="6"/>
      <c r="C19" t="s">
        <v>95</v>
      </c>
      <c r="D19">
        <v>7.4399999999999994E-2</v>
      </c>
      <c r="E19" s="5" t="s">
        <v>23</v>
      </c>
      <c r="G19" s="6" t="s">
        <v>52</v>
      </c>
      <c r="H19" t="s">
        <v>53</v>
      </c>
      <c r="I19">
        <v>12.214111000000001</v>
      </c>
      <c r="J19" s="5">
        <f t="shared" si="0"/>
        <v>2.4428222000000002</v>
      </c>
    </row>
    <row r="20" spans="2:10" x14ac:dyDescent="0.25">
      <c r="B20" s="6"/>
      <c r="C20" t="s">
        <v>96</v>
      </c>
      <c r="D20">
        <v>7.44</v>
      </c>
      <c r="E20" s="5" t="s">
        <v>23</v>
      </c>
      <c r="G20" s="6" t="s">
        <v>54</v>
      </c>
      <c r="H20" t="s">
        <v>55</v>
      </c>
      <c r="I20">
        <v>0.13832675999999999</v>
      </c>
      <c r="J20" s="5">
        <f t="shared" si="0"/>
        <v>2.7665351999999997E-2</v>
      </c>
    </row>
    <row r="21" spans="2:10" x14ac:dyDescent="0.25">
      <c r="B21" s="6"/>
      <c r="C21" t="s">
        <v>97</v>
      </c>
      <c r="D21">
        <v>79.7821</v>
      </c>
      <c r="E21" s="5" t="s">
        <v>27</v>
      </c>
      <c r="G21" s="6" t="s">
        <v>56</v>
      </c>
      <c r="H21" t="s">
        <v>57</v>
      </c>
      <c r="I21">
        <v>18461.328000000001</v>
      </c>
      <c r="J21" s="5">
        <f t="shared" si="0"/>
        <v>3692.2656000000002</v>
      </c>
    </row>
    <row r="22" spans="2:10" x14ac:dyDescent="0.25">
      <c r="B22" s="6"/>
      <c r="C22" t="s">
        <v>98</v>
      </c>
      <c r="D22">
        <v>0.347634</v>
      </c>
      <c r="E22" s="5" t="s">
        <v>23</v>
      </c>
      <c r="G22" s="6" t="s">
        <v>58</v>
      </c>
      <c r="H22" t="s">
        <v>57</v>
      </c>
      <c r="I22">
        <v>8584.8806000000004</v>
      </c>
      <c r="J22" s="5">
        <f t="shared" si="0"/>
        <v>1716.97612</v>
      </c>
    </row>
    <row r="23" spans="2:10" x14ac:dyDescent="0.25">
      <c r="B23" s="6"/>
      <c r="C23" t="s">
        <v>99</v>
      </c>
      <c r="D23">
        <v>109.67870000000001</v>
      </c>
      <c r="E23" s="5" t="s">
        <v>27</v>
      </c>
      <c r="G23" s="6" t="s">
        <v>59</v>
      </c>
      <c r="H23" t="s">
        <v>57</v>
      </c>
      <c r="I23">
        <v>11027.450999999999</v>
      </c>
      <c r="J23" s="5">
        <f t="shared" si="0"/>
        <v>2205.4901999999997</v>
      </c>
    </row>
    <row r="24" spans="2:10" x14ac:dyDescent="0.25">
      <c r="B24" s="6"/>
      <c r="C24" t="s">
        <v>100</v>
      </c>
      <c r="D24">
        <v>11.298120000000001</v>
      </c>
      <c r="E24" s="5" t="s">
        <v>27</v>
      </c>
      <c r="G24" s="6" t="s">
        <v>60</v>
      </c>
      <c r="H24" t="s">
        <v>57</v>
      </c>
      <c r="I24">
        <v>1212.5735</v>
      </c>
      <c r="J24" s="5">
        <f t="shared" si="0"/>
        <v>242.5147</v>
      </c>
    </row>
    <row r="25" spans="2:10" x14ac:dyDescent="0.25">
      <c r="B25" s="4"/>
      <c r="C25" s="3" t="s">
        <v>101</v>
      </c>
      <c r="D25" s="3">
        <v>1.3905380000000001</v>
      </c>
      <c r="E25" s="15" t="s">
        <v>23</v>
      </c>
      <c r="G25" s="6" t="s">
        <v>61</v>
      </c>
      <c r="H25" t="s">
        <v>57</v>
      </c>
      <c r="I25">
        <v>140410.51</v>
      </c>
      <c r="J25" s="5">
        <f t="shared" si="0"/>
        <v>28082.102000000003</v>
      </c>
    </row>
    <row r="26" spans="2:10" ht="15.75" thickBot="1" x14ac:dyDescent="0.3">
      <c r="B26" s="7"/>
      <c r="C26" s="8" t="s">
        <v>122</v>
      </c>
      <c r="D26" s="8">
        <v>0.173817</v>
      </c>
      <c r="E26" s="9" t="s">
        <v>23</v>
      </c>
      <c r="G26" s="6" t="s">
        <v>62</v>
      </c>
      <c r="H26" t="s">
        <v>63</v>
      </c>
      <c r="I26">
        <v>159.29356000000001</v>
      </c>
      <c r="J26" s="5">
        <f t="shared" si="0"/>
        <v>31.858712000000004</v>
      </c>
    </row>
    <row r="27" spans="2:10" x14ac:dyDescent="0.25">
      <c r="G27" s="6" t="s">
        <v>64</v>
      </c>
      <c r="H27" t="s">
        <v>65</v>
      </c>
      <c r="I27">
        <v>437.19335999999998</v>
      </c>
      <c r="J27" s="5">
        <f t="shared" si="0"/>
        <v>87.438671999999997</v>
      </c>
    </row>
    <row r="28" spans="2:10" x14ac:dyDescent="0.25">
      <c r="B28" s="18"/>
      <c r="C28" s="18"/>
      <c r="D28" s="18"/>
      <c r="E28" s="18"/>
      <c r="G28" s="6" t="s">
        <v>66</v>
      </c>
      <c r="H28" t="s">
        <v>67</v>
      </c>
      <c r="I28">
        <v>476.32700999999997</v>
      </c>
      <c r="J28" s="5">
        <f t="shared" si="0"/>
        <v>95.265401999999995</v>
      </c>
    </row>
    <row r="29" spans="2:10" ht="15.75" thickBot="1" x14ac:dyDescent="0.3">
      <c r="D29" s="13"/>
      <c r="G29" s="7" t="s">
        <v>68</v>
      </c>
      <c r="H29" s="8" t="s">
        <v>69</v>
      </c>
      <c r="I29" s="8">
        <v>15.283391</v>
      </c>
      <c r="J29" s="9">
        <f t="shared" si="0"/>
        <v>3.0566781999999999</v>
      </c>
    </row>
    <row r="31" spans="2:10" ht="15.75" thickBot="1" x14ac:dyDescent="0.3"/>
    <row r="32" spans="2:10" x14ac:dyDescent="0.25">
      <c r="B32" s="79" t="s">
        <v>1</v>
      </c>
      <c r="C32" s="80"/>
      <c r="D32" s="80"/>
      <c r="E32" s="81"/>
      <c r="G32" s="79" t="s">
        <v>70</v>
      </c>
      <c r="H32" s="80"/>
      <c r="I32" s="80"/>
      <c r="J32" s="81"/>
    </row>
    <row r="33" spans="2:10" x14ac:dyDescent="0.25">
      <c r="B33" s="74" t="s">
        <v>14</v>
      </c>
      <c r="C33" s="75"/>
      <c r="D33" s="75"/>
      <c r="E33" s="5" t="s">
        <v>108</v>
      </c>
      <c r="G33" s="74" t="s">
        <v>38</v>
      </c>
      <c r="H33" s="75"/>
      <c r="I33" s="75"/>
      <c r="J33" s="5">
        <v>20</v>
      </c>
    </row>
    <row r="34" spans="2:10" x14ac:dyDescent="0.25">
      <c r="B34" s="74" t="s">
        <v>15</v>
      </c>
      <c r="C34" s="75"/>
      <c r="D34" s="75"/>
      <c r="E34" s="5" t="s">
        <v>8</v>
      </c>
      <c r="G34" s="74" t="s">
        <v>15</v>
      </c>
      <c r="H34" s="75"/>
      <c r="I34" s="75"/>
      <c r="J34" s="5" t="s">
        <v>8</v>
      </c>
    </row>
    <row r="35" spans="2:10" x14ac:dyDescent="0.25">
      <c r="B35" s="20"/>
      <c r="C35" s="21"/>
      <c r="D35" s="21"/>
      <c r="E35" s="12"/>
      <c r="G35" s="74" t="s">
        <v>71</v>
      </c>
      <c r="H35" s="75"/>
      <c r="I35" s="75"/>
      <c r="J35" s="5" t="s">
        <v>86</v>
      </c>
    </row>
    <row r="36" spans="2:10" x14ac:dyDescent="0.25">
      <c r="B36" s="76" t="s">
        <v>7</v>
      </c>
      <c r="C36" s="77"/>
      <c r="D36" s="77"/>
      <c r="E36" s="78"/>
      <c r="G36" s="74" t="s">
        <v>19</v>
      </c>
      <c r="H36" s="75"/>
      <c r="I36" s="75"/>
      <c r="J36" s="5" t="s">
        <v>21</v>
      </c>
    </row>
    <row r="37" spans="2:10" x14ac:dyDescent="0.25">
      <c r="B37" s="6" t="s">
        <v>9</v>
      </c>
      <c r="C37" t="s">
        <v>10</v>
      </c>
      <c r="D37" t="s">
        <v>11</v>
      </c>
      <c r="E37" s="5" t="s">
        <v>12</v>
      </c>
      <c r="G37" s="10" t="s">
        <v>17</v>
      </c>
      <c r="H37" s="11" t="s">
        <v>12</v>
      </c>
      <c r="I37" s="11" t="s">
        <v>18</v>
      </c>
      <c r="J37" s="12" t="s">
        <v>20</v>
      </c>
    </row>
    <row r="38" spans="2:10" x14ac:dyDescent="0.25">
      <c r="B38" s="6"/>
      <c r="C38" t="s">
        <v>102</v>
      </c>
      <c r="D38">
        <v>7.44</v>
      </c>
      <c r="E38" s="5" t="s">
        <v>23</v>
      </c>
      <c r="G38" s="6" t="s">
        <v>39</v>
      </c>
      <c r="H38" t="s">
        <v>40</v>
      </c>
      <c r="I38">
        <v>2288.8310000000001</v>
      </c>
      <c r="J38" s="5">
        <f t="shared" ref="J38:J48" si="1">I38/$J$33</f>
        <v>114.44155000000001</v>
      </c>
    </row>
    <row r="39" spans="2:10" x14ac:dyDescent="0.25">
      <c r="B39" s="6"/>
      <c r="C39" t="s">
        <v>97</v>
      </c>
      <c r="D39">
        <v>3335.1779999999999</v>
      </c>
      <c r="E39" s="5" t="s">
        <v>27</v>
      </c>
      <c r="G39" s="6" t="s">
        <v>41</v>
      </c>
      <c r="H39" t="s">
        <v>42</v>
      </c>
      <c r="I39">
        <v>6.3900287000000005E-4</v>
      </c>
      <c r="J39" s="5">
        <f t="shared" si="1"/>
        <v>3.19501435E-5</v>
      </c>
    </row>
    <row r="40" spans="2:10" x14ac:dyDescent="0.25">
      <c r="B40" s="6"/>
      <c r="C40" t="s">
        <v>98</v>
      </c>
      <c r="D40">
        <v>14.53</v>
      </c>
      <c r="E40" s="5" t="s">
        <v>23</v>
      </c>
      <c r="G40" s="6" t="s">
        <v>43</v>
      </c>
      <c r="H40" t="s">
        <v>44</v>
      </c>
      <c r="I40">
        <v>96.149009000000007</v>
      </c>
      <c r="J40" s="5">
        <f t="shared" si="1"/>
        <v>4.8074504500000002</v>
      </c>
    </row>
    <row r="41" spans="2:10" x14ac:dyDescent="0.25">
      <c r="B41" s="6"/>
      <c r="C41" t="s">
        <v>99</v>
      </c>
      <c r="D41">
        <v>4584.96</v>
      </c>
      <c r="E41" s="5" t="s">
        <v>27</v>
      </c>
      <c r="G41" s="6" t="s">
        <v>45</v>
      </c>
      <c r="H41" t="s">
        <v>46</v>
      </c>
      <c r="I41">
        <v>6.3206056999999998</v>
      </c>
      <c r="J41" s="5">
        <f t="shared" si="1"/>
        <v>0.31603028499999997</v>
      </c>
    </row>
    <row r="42" spans="2:10" x14ac:dyDescent="0.25">
      <c r="B42" s="6"/>
      <c r="C42" t="s">
        <v>100</v>
      </c>
      <c r="D42">
        <v>472.3</v>
      </c>
      <c r="E42" s="5" t="s">
        <v>27</v>
      </c>
      <c r="G42" s="6" t="s">
        <v>47</v>
      </c>
      <c r="H42" t="s">
        <v>48</v>
      </c>
      <c r="I42">
        <v>6.5615455999999996</v>
      </c>
      <c r="J42" s="5">
        <f t="shared" si="1"/>
        <v>0.32807727999999997</v>
      </c>
    </row>
    <row r="43" spans="2:10" x14ac:dyDescent="0.25">
      <c r="B43" s="6"/>
      <c r="C43" t="s">
        <v>103</v>
      </c>
      <c r="D43">
        <v>528.24</v>
      </c>
      <c r="E43" s="5" t="s">
        <v>23</v>
      </c>
      <c r="G43" s="6" t="s">
        <v>49</v>
      </c>
      <c r="H43" t="s">
        <v>46</v>
      </c>
      <c r="I43">
        <v>6.5277991999999996</v>
      </c>
      <c r="J43" s="5">
        <f t="shared" si="1"/>
        <v>0.32638995999999998</v>
      </c>
    </row>
    <row r="44" spans="2:10" x14ac:dyDescent="0.25">
      <c r="B44" s="6"/>
      <c r="C44" t="s">
        <v>101</v>
      </c>
      <c r="D44">
        <v>58.13</v>
      </c>
      <c r="E44" s="5" t="s">
        <v>23</v>
      </c>
      <c r="G44" s="6" t="s">
        <v>50</v>
      </c>
      <c r="H44" t="s">
        <v>51</v>
      </c>
      <c r="I44">
        <v>18.171865</v>
      </c>
      <c r="J44" s="5">
        <f t="shared" si="1"/>
        <v>0.90859325000000002</v>
      </c>
    </row>
    <row r="45" spans="2:10" x14ac:dyDescent="0.25">
      <c r="B45" s="6"/>
      <c r="C45" t="s">
        <v>104</v>
      </c>
      <c r="D45">
        <v>0.372</v>
      </c>
      <c r="E45" s="5" t="s">
        <v>23</v>
      </c>
      <c r="G45" s="6" t="s">
        <v>52</v>
      </c>
      <c r="H45" t="s">
        <v>53</v>
      </c>
      <c r="I45">
        <v>1.4500934999999999</v>
      </c>
      <c r="J45" s="5">
        <f t="shared" si="1"/>
        <v>7.2504674999999991E-2</v>
      </c>
    </row>
    <row r="46" spans="2:10" x14ac:dyDescent="0.25">
      <c r="B46" s="6"/>
      <c r="C46" t="s">
        <v>105</v>
      </c>
      <c r="D46">
        <v>44.64</v>
      </c>
      <c r="E46" s="5" t="s">
        <v>23</v>
      </c>
      <c r="G46" s="6" t="s">
        <v>54</v>
      </c>
      <c r="H46" t="s">
        <v>55</v>
      </c>
      <c r="I46">
        <v>7.1508215E-2</v>
      </c>
      <c r="J46" s="5">
        <f t="shared" si="1"/>
        <v>3.5754107499999998E-3</v>
      </c>
    </row>
    <row r="47" spans="2:10" x14ac:dyDescent="0.25">
      <c r="B47" s="6"/>
      <c r="C47" t="s">
        <v>106</v>
      </c>
      <c r="D47">
        <v>81.84</v>
      </c>
      <c r="E47" s="5" t="s">
        <v>23</v>
      </c>
      <c r="G47" s="6" t="s">
        <v>56</v>
      </c>
      <c r="H47" t="s">
        <v>57</v>
      </c>
      <c r="I47">
        <v>41700.690999999999</v>
      </c>
      <c r="J47" s="5">
        <f t="shared" si="1"/>
        <v>2085.0345499999999</v>
      </c>
    </row>
    <row r="48" spans="2:10" ht="15.75" thickBot="1" x14ac:dyDescent="0.3">
      <c r="B48" s="7"/>
      <c r="C48" s="8" t="s">
        <v>122</v>
      </c>
      <c r="D48" s="8">
        <v>7.2661829999999998</v>
      </c>
      <c r="E48" s="9" t="s">
        <v>23</v>
      </c>
      <c r="G48" s="6" t="s">
        <v>58</v>
      </c>
      <c r="H48" t="s">
        <v>57</v>
      </c>
      <c r="I48">
        <v>869.77675999999997</v>
      </c>
      <c r="J48" s="5">
        <f t="shared" si="1"/>
        <v>43.488838000000001</v>
      </c>
    </row>
    <row r="49" spans="2:10" x14ac:dyDescent="0.25">
      <c r="G49" s="6" t="s">
        <v>59</v>
      </c>
      <c r="H49" t="s">
        <v>57</v>
      </c>
      <c r="I49">
        <v>1192.1957</v>
      </c>
      <c r="J49" s="5">
        <f t="shared" ref="J49:J55" si="2">I49/$J$33</f>
        <v>59.609785000000002</v>
      </c>
    </row>
    <row r="50" spans="2:10" x14ac:dyDescent="0.25">
      <c r="B50" s="18"/>
      <c r="C50" s="18"/>
      <c r="D50" s="18"/>
      <c r="E50" s="18"/>
      <c r="G50" s="6" t="s">
        <v>60</v>
      </c>
      <c r="H50" t="s">
        <v>57</v>
      </c>
      <c r="I50">
        <v>715.00040999999999</v>
      </c>
      <c r="J50" s="5">
        <f t="shared" si="2"/>
        <v>35.750020499999998</v>
      </c>
    </row>
    <row r="51" spans="2:10" x14ac:dyDescent="0.25">
      <c r="G51" s="6" t="s">
        <v>61</v>
      </c>
      <c r="H51" t="s">
        <v>57</v>
      </c>
      <c r="I51">
        <v>43154.771999999997</v>
      </c>
      <c r="J51" s="5">
        <f t="shared" si="2"/>
        <v>2157.7385999999997</v>
      </c>
    </row>
    <row r="52" spans="2:10" x14ac:dyDescent="0.25">
      <c r="G52" s="6" t="s">
        <v>62</v>
      </c>
      <c r="H52" t="s">
        <v>63</v>
      </c>
      <c r="I52">
        <v>100.50725</v>
      </c>
      <c r="J52" s="5">
        <f t="shared" si="2"/>
        <v>5.0253625</v>
      </c>
    </row>
    <row r="53" spans="2:10" x14ac:dyDescent="0.25">
      <c r="G53" s="6" t="s">
        <v>64</v>
      </c>
      <c r="H53" t="s">
        <v>65</v>
      </c>
      <c r="I53">
        <v>174.66714999999999</v>
      </c>
      <c r="J53" s="5">
        <f t="shared" si="2"/>
        <v>8.7333575000000003</v>
      </c>
    </row>
    <row r="54" spans="2:10" x14ac:dyDescent="0.25">
      <c r="G54" s="6" t="s">
        <v>66</v>
      </c>
      <c r="H54" t="s">
        <v>67</v>
      </c>
      <c r="I54">
        <v>669.97661000000005</v>
      </c>
      <c r="J54" s="5">
        <f t="shared" si="2"/>
        <v>33.498830500000004</v>
      </c>
    </row>
    <row r="55" spans="2:10" ht="15.75" thickBot="1" x14ac:dyDescent="0.3">
      <c r="G55" s="7" t="s">
        <v>68</v>
      </c>
      <c r="H55" s="8" t="s">
        <v>69</v>
      </c>
      <c r="I55" s="8">
        <v>21.389500999999999</v>
      </c>
      <c r="J55" s="9">
        <f t="shared" si="2"/>
        <v>1.0694750499999999</v>
      </c>
    </row>
    <row r="64" spans="2:10" ht="15.75" thickBot="1" x14ac:dyDescent="0.3"/>
    <row r="65" spans="2:6" x14ac:dyDescent="0.25">
      <c r="B65" s="82" t="s">
        <v>111</v>
      </c>
      <c r="C65" s="83"/>
      <c r="D65" s="83"/>
      <c r="E65" s="83"/>
      <c r="F65" s="84"/>
    </row>
    <row r="66" spans="2:6" x14ac:dyDescent="0.25">
      <c r="B66" s="74" t="s">
        <v>121</v>
      </c>
      <c r="C66" s="75"/>
      <c r="D66" s="17"/>
      <c r="E66" s="17"/>
      <c r="F66" s="5"/>
    </row>
    <row r="67" spans="2:6" x14ac:dyDescent="0.25">
      <c r="B67" s="10" t="s">
        <v>123</v>
      </c>
      <c r="C67" s="16" t="s">
        <v>7</v>
      </c>
      <c r="D67" s="11" t="s">
        <v>120</v>
      </c>
      <c r="E67" s="11" t="s">
        <v>119</v>
      </c>
      <c r="F67" s="12" t="s">
        <v>12</v>
      </c>
    </row>
    <row r="68" spans="2:6" x14ac:dyDescent="0.25">
      <c r="B68" s="6" t="s">
        <v>118</v>
      </c>
      <c r="C68" t="s">
        <v>112</v>
      </c>
      <c r="D68">
        <v>7.2661827896846036</v>
      </c>
      <c r="E68">
        <v>0.17381721031539676</v>
      </c>
      <c r="F68" s="5" t="s">
        <v>23</v>
      </c>
    </row>
    <row r="69" spans="2:6" x14ac:dyDescent="0.25">
      <c r="B69" s="6" t="s">
        <v>119</v>
      </c>
      <c r="C69" t="s">
        <v>113</v>
      </c>
      <c r="E69">
        <v>7.4399999999999994E-2</v>
      </c>
      <c r="F69" s="5" t="s">
        <v>23</v>
      </c>
    </row>
    <row r="70" spans="2:6" x14ac:dyDescent="0.25">
      <c r="B70" s="6" t="s">
        <v>120</v>
      </c>
      <c r="C70" t="s">
        <v>102</v>
      </c>
      <c r="D70">
        <v>7.44</v>
      </c>
      <c r="F70" s="5" t="s">
        <v>23</v>
      </c>
    </row>
    <row r="71" spans="2:6" x14ac:dyDescent="0.25">
      <c r="B71" s="6" t="s">
        <v>119</v>
      </c>
      <c r="C71" t="s">
        <v>114</v>
      </c>
      <c r="E71">
        <v>0.22319999999999998</v>
      </c>
      <c r="F71" s="5" t="s">
        <v>23</v>
      </c>
    </row>
    <row r="72" spans="2:6" x14ac:dyDescent="0.25">
      <c r="B72" s="6" t="s">
        <v>119</v>
      </c>
      <c r="C72" t="s">
        <v>91</v>
      </c>
      <c r="E72">
        <v>0.29760000000000003</v>
      </c>
      <c r="F72" s="5" t="s">
        <v>23</v>
      </c>
    </row>
    <row r="73" spans="2:6" x14ac:dyDescent="0.25">
      <c r="B73" s="6" t="s">
        <v>119</v>
      </c>
      <c r="C73" t="s">
        <v>115</v>
      </c>
      <c r="E73">
        <v>7.44</v>
      </c>
      <c r="F73" s="5" t="s">
        <v>23</v>
      </c>
    </row>
    <row r="74" spans="2:6" x14ac:dyDescent="0.25">
      <c r="B74" s="6" t="s">
        <v>118</v>
      </c>
      <c r="C74" t="s">
        <v>97</v>
      </c>
      <c r="D74">
        <v>3335.1779004652326</v>
      </c>
      <c r="E74">
        <v>79.78209953476744</v>
      </c>
      <c r="F74" s="5" t="s">
        <v>27</v>
      </c>
    </row>
    <row r="75" spans="2:6" x14ac:dyDescent="0.25">
      <c r="B75" s="6" t="s">
        <v>118</v>
      </c>
      <c r="C75" t="s">
        <v>98</v>
      </c>
      <c r="D75">
        <v>14.532365579369207</v>
      </c>
      <c r="E75">
        <v>0.34763442063079353</v>
      </c>
      <c r="F75" s="5" t="s">
        <v>23</v>
      </c>
    </row>
    <row r="76" spans="2:6" x14ac:dyDescent="0.25">
      <c r="B76" s="6" t="s">
        <v>118</v>
      </c>
      <c r="C76" t="s">
        <v>99</v>
      </c>
      <c r="D76">
        <v>4584.9613402909827</v>
      </c>
      <c r="E76">
        <v>109.67865970901676</v>
      </c>
      <c r="F76" s="5" t="s">
        <v>27</v>
      </c>
    </row>
    <row r="77" spans="2:6" x14ac:dyDescent="0.25">
      <c r="B77" s="6" t="s">
        <v>118</v>
      </c>
      <c r="C77" t="s">
        <v>100</v>
      </c>
      <c r="D77">
        <v>472.30188132949917</v>
      </c>
      <c r="E77">
        <v>11.298118670500855</v>
      </c>
      <c r="F77" s="5" t="s">
        <v>27</v>
      </c>
    </row>
    <row r="78" spans="2:6" x14ac:dyDescent="0.25">
      <c r="B78" s="6" t="s">
        <v>119</v>
      </c>
      <c r="C78" t="s">
        <v>93</v>
      </c>
      <c r="E78">
        <v>1.488E-3</v>
      </c>
      <c r="F78" s="5" t="s">
        <v>23</v>
      </c>
    </row>
    <row r="79" spans="2:6" x14ac:dyDescent="0.25">
      <c r="B79" s="6" t="s">
        <v>120</v>
      </c>
      <c r="C79" t="s">
        <v>103</v>
      </c>
      <c r="D79">
        <v>528.24</v>
      </c>
      <c r="F79" s="5" t="s">
        <v>23</v>
      </c>
    </row>
    <row r="80" spans="2:6" x14ac:dyDescent="0.25">
      <c r="B80" s="6" t="s">
        <v>118</v>
      </c>
      <c r="C80" t="s">
        <v>101</v>
      </c>
      <c r="D80">
        <v>58.129462317476829</v>
      </c>
      <c r="E80">
        <v>1.3905376825231741</v>
      </c>
      <c r="F80" s="5" t="s">
        <v>23</v>
      </c>
    </row>
    <row r="81" spans="2:6" x14ac:dyDescent="0.25">
      <c r="B81" s="6" t="s">
        <v>119</v>
      </c>
      <c r="C81" t="s">
        <v>116</v>
      </c>
      <c r="E81">
        <v>0.29760000000000003</v>
      </c>
      <c r="F81" s="5" t="s">
        <v>23</v>
      </c>
    </row>
    <row r="82" spans="2:6" x14ac:dyDescent="0.25">
      <c r="B82" s="6" t="s">
        <v>119</v>
      </c>
      <c r="C82" t="s">
        <v>95</v>
      </c>
      <c r="E82">
        <v>7.4400000000000008E-2</v>
      </c>
      <c r="F82" s="5" t="s">
        <v>23</v>
      </c>
    </row>
    <row r="83" spans="2:6" x14ac:dyDescent="0.25">
      <c r="B83" s="6" t="s">
        <v>120</v>
      </c>
      <c r="C83" t="s">
        <v>117</v>
      </c>
      <c r="D83">
        <v>0.372</v>
      </c>
      <c r="F83" s="5" t="s">
        <v>23</v>
      </c>
    </row>
    <row r="84" spans="2:6" x14ac:dyDescent="0.25">
      <c r="B84" s="6" t="s">
        <v>120</v>
      </c>
      <c r="C84" t="s">
        <v>105</v>
      </c>
      <c r="D84">
        <v>44.64</v>
      </c>
      <c r="F84" s="5" t="s">
        <v>23</v>
      </c>
    </row>
    <row r="85" spans="2:6" x14ac:dyDescent="0.25">
      <c r="B85" s="6" t="s">
        <v>119</v>
      </c>
      <c r="C85" t="s">
        <v>96</v>
      </c>
      <c r="E85">
        <v>7.44</v>
      </c>
      <c r="F85" s="5" t="s">
        <v>23</v>
      </c>
    </row>
    <row r="86" spans="2:6" ht="15.75" thickBot="1" x14ac:dyDescent="0.3">
      <c r="B86" s="7" t="s">
        <v>120</v>
      </c>
      <c r="C86" s="8" t="s">
        <v>106</v>
      </c>
      <c r="D86" s="8">
        <v>81.84</v>
      </c>
      <c r="E86" s="8"/>
      <c r="F86" s="9" t="s">
        <v>23</v>
      </c>
    </row>
    <row r="87" spans="2:6" x14ac:dyDescent="0.25">
      <c r="B87" s="18"/>
      <c r="C87" s="18"/>
      <c r="D87" s="18"/>
      <c r="E87" s="18"/>
    </row>
  </sheetData>
  <mergeCells count="21">
    <mergeCell ref="B66:C66"/>
    <mergeCell ref="B65:F65"/>
    <mergeCell ref="B2:C2"/>
    <mergeCell ref="B33:D33"/>
    <mergeCell ref="G33:I33"/>
    <mergeCell ref="B34:D34"/>
    <mergeCell ref="G34:I34"/>
    <mergeCell ref="B6:E6"/>
    <mergeCell ref="G6:J6"/>
    <mergeCell ref="B7:D7"/>
    <mergeCell ref="G7:I7"/>
    <mergeCell ref="B8:D8"/>
    <mergeCell ref="G8:I8"/>
    <mergeCell ref="G35:I35"/>
    <mergeCell ref="B36:E36"/>
    <mergeCell ref="G36:I36"/>
    <mergeCell ref="G9:I9"/>
    <mergeCell ref="B10:E10"/>
    <mergeCell ref="G10:I10"/>
    <mergeCell ref="B32:E32"/>
    <mergeCell ref="G32:J3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F7A5B-1B9B-49DE-B1CE-8810A436A1CE}">
  <dimension ref="B2:DA159"/>
  <sheetViews>
    <sheetView topLeftCell="A15" workbookViewId="0">
      <selection activeCell="J48" sqref="J48:J65"/>
    </sheetView>
  </sheetViews>
  <sheetFormatPr defaultRowHeight="15" x14ac:dyDescent="0.25"/>
  <cols>
    <col min="2" max="2" width="15.7109375" customWidth="1"/>
    <col min="3" max="3" width="36.85546875" customWidth="1"/>
    <col min="7" max="7" width="36.85546875" customWidth="1"/>
    <col min="8" max="8" width="12.42578125" customWidth="1"/>
    <col min="9" max="9" width="12.28515625" customWidth="1"/>
    <col min="10" max="10" width="37.85546875" customWidth="1"/>
    <col min="12" max="12" width="37.85546875" customWidth="1"/>
  </cols>
  <sheetData>
    <row r="2" spans="2:12" x14ac:dyDescent="0.25">
      <c r="B2" s="75" t="s">
        <v>2</v>
      </c>
      <c r="C2" s="75"/>
      <c r="D2" s="1" t="s">
        <v>442</v>
      </c>
    </row>
    <row r="5" spans="2:12" ht="15.75" thickBot="1" x14ac:dyDescent="0.3"/>
    <row r="6" spans="2:12" x14ac:dyDescent="0.25">
      <c r="B6" s="86" t="s">
        <v>0</v>
      </c>
      <c r="C6" s="87"/>
      <c r="D6" s="87"/>
      <c r="E6" s="88"/>
      <c r="G6" s="86" t="s">
        <v>16</v>
      </c>
      <c r="H6" s="87"/>
      <c r="I6" s="87"/>
      <c r="J6" s="87"/>
      <c r="K6" s="87"/>
      <c r="L6" s="88"/>
    </row>
    <row r="7" spans="2:12" x14ac:dyDescent="0.25">
      <c r="B7" s="74" t="s">
        <v>6</v>
      </c>
      <c r="C7" s="75"/>
      <c r="D7" s="75"/>
      <c r="E7" s="5" t="s">
        <v>443</v>
      </c>
      <c r="G7" s="74" t="s">
        <v>36</v>
      </c>
      <c r="H7" s="75"/>
      <c r="I7" s="75"/>
      <c r="J7">
        <v>7.5</v>
      </c>
      <c r="L7" s="5"/>
    </row>
    <row r="8" spans="2:12" x14ac:dyDescent="0.25">
      <c r="B8" s="74" t="s">
        <v>5</v>
      </c>
      <c r="C8" s="75"/>
      <c r="D8" s="75"/>
      <c r="E8" s="5" t="s">
        <v>8</v>
      </c>
      <c r="G8" s="74" t="s">
        <v>5</v>
      </c>
      <c r="H8" s="75"/>
      <c r="I8" s="75"/>
      <c r="J8" t="s">
        <v>8</v>
      </c>
      <c r="L8" s="5"/>
    </row>
    <row r="9" spans="2:12" x14ac:dyDescent="0.25">
      <c r="B9" s="20"/>
      <c r="C9" s="21"/>
      <c r="D9" s="21"/>
      <c r="E9" s="12"/>
      <c r="G9" s="10" t="s">
        <v>19</v>
      </c>
      <c r="H9" s="104" t="s">
        <v>21</v>
      </c>
      <c r="I9" s="104"/>
      <c r="J9" s="104"/>
      <c r="K9" s="104"/>
      <c r="L9" s="105"/>
    </row>
    <row r="10" spans="2:12" x14ac:dyDescent="0.25">
      <c r="B10" s="76" t="s">
        <v>7</v>
      </c>
      <c r="C10" s="77"/>
      <c r="D10" s="77"/>
      <c r="E10" s="78"/>
      <c r="G10" s="6" t="s">
        <v>71</v>
      </c>
      <c r="I10" s="85" t="s">
        <v>86</v>
      </c>
      <c r="J10" s="85"/>
      <c r="K10" s="85" t="s">
        <v>72</v>
      </c>
      <c r="L10" s="106"/>
    </row>
    <row r="11" spans="2:12" x14ac:dyDescent="0.25">
      <c r="B11" s="6" t="s">
        <v>9</v>
      </c>
      <c r="C11" t="s">
        <v>10</v>
      </c>
      <c r="D11" t="s">
        <v>11</v>
      </c>
      <c r="E11" s="5" t="s">
        <v>12</v>
      </c>
      <c r="G11" s="6" t="s">
        <v>17</v>
      </c>
      <c r="H11" t="s">
        <v>12</v>
      </c>
      <c r="I11" t="s">
        <v>18</v>
      </c>
      <c r="J11" t="s">
        <v>37</v>
      </c>
      <c r="K11" t="s">
        <v>18</v>
      </c>
      <c r="L11" s="5" t="s">
        <v>20</v>
      </c>
    </row>
    <row r="12" spans="2:12" x14ac:dyDescent="0.25">
      <c r="B12" s="95" t="s">
        <v>447</v>
      </c>
      <c r="C12" s="45" t="s">
        <v>416</v>
      </c>
      <c r="D12" s="40">
        <v>11.0555</v>
      </c>
      <c r="E12" s="43" t="s">
        <v>23</v>
      </c>
      <c r="G12" s="6" t="s">
        <v>39</v>
      </c>
      <c r="H12" t="s">
        <v>40</v>
      </c>
      <c r="I12">
        <v>4217.7241000000004</v>
      </c>
      <c r="J12">
        <f>I12/$J$7</f>
        <v>562.36321333333342</v>
      </c>
      <c r="K12">
        <v>4230.5820999999996</v>
      </c>
      <c r="L12" s="5">
        <f>K12/$J$7</f>
        <v>564.07761333333326</v>
      </c>
    </row>
    <row r="13" spans="2:12" x14ac:dyDescent="0.25">
      <c r="B13" s="95"/>
      <c r="C13" s="45" t="s">
        <v>425</v>
      </c>
      <c r="D13" s="40">
        <v>159.553</v>
      </c>
      <c r="E13" s="43" t="s">
        <v>23</v>
      </c>
      <c r="G13" s="6" t="s">
        <v>41</v>
      </c>
      <c r="H13" t="s">
        <v>42</v>
      </c>
      <c r="I13">
        <v>4.2581375999999997E-2</v>
      </c>
      <c r="J13">
        <f t="shared" ref="J13:J29" si="0">I13/$J$7</f>
        <v>5.6775167999999999E-3</v>
      </c>
      <c r="K13">
        <v>4.2582599999999998E-2</v>
      </c>
      <c r="L13" s="5">
        <f t="shared" ref="L13:L29" si="1">K13/$J$7</f>
        <v>5.6776800000000001E-3</v>
      </c>
    </row>
    <row r="14" spans="2:12" x14ac:dyDescent="0.25">
      <c r="B14" s="95"/>
      <c r="C14" s="45" t="s">
        <v>426</v>
      </c>
      <c r="D14" s="40">
        <v>57.253100000000003</v>
      </c>
      <c r="E14" s="43" t="s">
        <v>23</v>
      </c>
      <c r="G14" s="6" t="s">
        <v>43</v>
      </c>
      <c r="H14" t="s">
        <v>44</v>
      </c>
      <c r="I14">
        <v>180.46018000000001</v>
      </c>
      <c r="J14">
        <f t="shared" si="0"/>
        <v>24.061357333333333</v>
      </c>
      <c r="K14">
        <v>180.47622000000001</v>
      </c>
      <c r="L14" s="5">
        <f t="shared" si="1"/>
        <v>24.063496000000001</v>
      </c>
    </row>
    <row r="15" spans="2:12" x14ac:dyDescent="0.25">
      <c r="B15" s="95"/>
      <c r="C15" s="45" t="s">
        <v>429</v>
      </c>
      <c r="D15" s="40">
        <v>2.6043400000000001</v>
      </c>
      <c r="E15" s="43" t="s">
        <v>23</v>
      </c>
      <c r="G15" s="6" t="s">
        <v>45</v>
      </c>
      <c r="H15" t="s">
        <v>46</v>
      </c>
      <c r="I15">
        <v>13.062687</v>
      </c>
      <c r="J15">
        <f t="shared" si="0"/>
        <v>1.7416916</v>
      </c>
      <c r="K15">
        <v>13.066128000000001</v>
      </c>
      <c r="L15" s="5">
        <f t="shared" si="1"/>
        <v>1.7421504000000001</v>
      </c>
    </row>
    <row r="16" spans="2:12" x14ac:dyDescent="0.25">
      <c r="B16" s="95"/>
      <c r="C16" s="45" t="s">
        <v>430</v>
      </c>
      <c r="D16" s="40">
        <v>12.438800000000001</v>
      </c>
      <c r="E16" s="43" t="s">
        <v>23</v>
      </c>
      <c r="G16" s="6" t="s">
        <v>47</v>
      </c>
      <c r="H16" t="s">
        <v>48</v>
      </c>
      <c r="I16">
        <v>17.235811000000002</v>
      </c>
      <c r="J16">
        <f t="shared" si="0"/>
        <v>2.2981081333333337</v>
      </c>
      <c r="K16">
        <v>17.253782000000001</v>
      </c>
      <c r="L16" s="5">
        <f t="shared" si="1"/>
        <v>2.3005042666666666</v>
      </c>
    </row>
    <row r="17" spans="2:19" x14ac:dyDescent="0.25">
      <c r="B17" s="95"/>
      <c r="C17" s="45" t="s">
        <v>431</v>
      </c>
      <c r="D17" s="40">
        <v>4.3593799999999998</v>
      </c>
      <c r="E17" s="43" t="s">
        <v>23</v>
      </c>
      <c r="G17" s="6" t="s">
        <v>49</v>
      </c>
      <c r="H17" t="s">
        <v>46</v>
      </c>
      <c r="I17">
        <v>13.496828000000001</v>
      </c>
      <c r="J17">
        <f t="shared" si="0"/>
        <v>1.7995770666666668</v>
      </c>
      <c r="K17">
        <v>13.500363999999999</v>
      </c>
      <c r="L17" s="5">
        <f t="shared" si="1"/>
        <v>1.8000485333333331</v>
      </c>
    </row>
    <row r="18" spans="2:19" x14ac:dyDescent="0.25">
      <c r="B18" s="95"/>
      <c r="C18" s="45" t="s">
        <v>432</v>
      </c>
      <c r="D18" s="40">
        <v>12.177199999999999</v>
      </c>
      <c r="E18" s="43" t="s">
        <v>23</v>
      </c>
      <c r="G18" s="6" t="s">
        <v>50</v>
      </c>
      <c r="H18" t="s">
        <v>51</v>
      </c>
      <c r="I18">
        <v>46.189096999999997</v>
      </c>
      <c r="J18">
        <f t="shared" si="0"/>
        <v>6.1585462666666659</v>
      </c>
      <c r="K18">
        <v>46.191327999999999</v>
      </c>
      <c r="L18" s="5">
        <f t="shared" si="1"/>
        <v>6.1588437333333328</v>
      </c>
    </row>
    <row r="19" spans="2:19" x14ac:dyDescent="0.25">
      <c r="B19" s="95"/>
      <c r="C19" s="45" t="s">
        <v>433</v>
      </c>
      <c r="D19" s="40">
        <v>0.83452000000000004</v>
      </c>
      <c r="E19" s="43" t="s">
        <v>23</v>
      </c>
      <c r="G19" s="6" t="s">
        <v>52</v>
      </c>
      <c r="H19" t="s">
        <v>53</v>
      </c>
      <c r="I19">
        <v>6.9567582000000003</v>
      </c>
      <c r="J19">
        <f t="shared" si="0"/>
        <v>0.92756776000000007</v>
      </c>
      <c r="K19">
        <v>6.9592597999999999</v>
      </c>
      <c r="L19" s="5">
        <f t="shared" si="1"/>
        <v>0.9279013066666667</v>
      </c>
    </row>
    <row r="20" spans="2:19" x14ac:dyDescent="0.25">
      <c r="B20" s="95"/>
      <c r="C20" s="45" t="s">
        <v>434</v>
      </c>
      <c r="D20" s="40">
        <v>5</v>
      </c>
      <c r="E20" s="43" t="s">
        <v>23</v>
      </c>
      <c r="G20" s="6" t="s">
        <v>54</v>
      </c>
      <c r="H20" t="s">
        <v>55</v>
      </c>
      <c r="I20">
        <v>0.28250291</v>
      </c>
      <c r="J20">
        <f t="shared" si="0"/>
        <v>3.7667054666666665E-2</v>
      </c>
      <c r="K20">
        <v>0.28271583</v>
      </c>
      <c r="L20" s="5">
        <f t="shared" si="1"/>
        <v>3.7695444000000002E-2</v>
      </c>
      <c r="R20" t="s">
        <v>146</v>
      </c>
      <c r="S20" t="s">
        <v>147</v>
      </c>
    </row>
    <row r="21" spans="2:19" x14ac:dyDescent="0.25">
      <c r="B21" s="95"/>
      <c r="C21" s="45" t="s">
        <v>460</v>
      </c>
      <c r="D21" s="40">
        <v>8.8931199999999997</v>
      </c>
      <c r="E21" s="43" t="s">
        <v>23</v>
      </c>
      <c r="G21" s="6" t="s">
        <v>56</v>
      </c>
      <c r="H21" t="s">
        <v>57</v>
      </c>
      <c r="I21">
        <v>240415.34</v>
      </c>
      <c r="J21">
        <f t="shared" si="0"/>
        <v>32055.378666666667</v>
      </c>
      <c r="K21">
        <v>240424.19</v>
      </c>
      <c r="L21" s="5">
        <f t="shared" si="1"/>
        <v>32056.558666666668</v>
      </c>
      <c r="R21" t="s">
        <v>148</v>
      </c>
      <c r="S21" t="s">
        <v>149</v>
      </c>
    </row>
    <row r="22" spans="2:19" x14ac:dyDescent="0.25">
      <c r="B22" s="95"/>
      <c r="C22" s="45" t="s">
        <v>437</v>
      </c>
      <c r="D22" s="40">
        <v>36.415300000000002</v>
      </c>
      <c r="E22" s="43" t="s">
        <v>23</v>
      </c>
      <c r="G22" s="6" t="s">
        <v>58</v>
      </c>
      <c r="H22" t="s">
        <v>57</v>
      </c>
      <c r="I22">
        <v>4853.1170000000002</v>
      </c>
      <c r="J22">
        <f t="shared" si="0"/>
        <v>647.08226666666667</v>
      </c>
      <c r="K22">
        <v>4853.6489000000001</v>
      </c>
      <c r="L22" s="5">
        <f t="shared" si="1"/>
        <v>647.15318666666667</v>
      </c>
      <c r="R22" t="s">
        <v>150</v>
      </c>
      <c r="S22" t="s">
        <v>466</v>
      </c>
    </row>
    <row r="23" spans="2:19" x14ac:dyDescent="0.25">
      <c r="B23" s="95"/>
      <c r="C23" s="45" t="s">
        <v>461</v>
      </c>
      <c r="D23" s="40">
        <v>55.86</v>
      </c>
      <c r="E23" s="43" t="s">
        <v>23</v>
      </c>
      <c r="G23" s="6" t="s">
        <v>59</v>
      </c>
      <c r="H23" t="s">
        <v>57</v>
      </c>
      <c r="I23">
        <v>6143.9663</v>
      </c>
      <c r="J23">
        <f t="shared" si="0"/>
        <v>819.19550666666669</v>
      </c>
      <c r="K23">
        <v>6144.6698999999999</v>
      </c>
      <c r="L23" s="5">
        <f t="shared" si="1"/>
        <v>819.28931999999998</v>
      </c>
      <c r="R23" t="s">
        <v>151</v>
      </c>
      <c r="S23" t="s">
        <v>467</v>
      </c>
    </row>
    <row r="24" spans="2:19" x14ac:dyDescent="0.25">
      <c r="B24" s="95"/>
      <c r="C24" s="40" t="s">
        <v>462</v>
      </c>
      <c r="D24" s="40">
        <v>2.1870000000000001E-2</v>
      </c>
      <c r="E24" s="43" t="s">
        <v>69</v>
      </c>
      <c r="G24" s="6" t="s">
        <v>60</v>
      </c>
      <c r="H24" t="s">
        <v>57</v>
      </c>
      <c r="I24">
        <v>2772.3285999999998</v>
      </c>
      <c r="J24">
        <f t="shared" si="0"/>
        <v>369.6438133333333</v>
      </c>
      <c r="K24">
        <v>2773.9629</v>
      </c>
      <c r="L24" s="5">
        <f t="shared" si="1"/>
        <v>369.86171999999999</v>
      </c>
      <c r="R24" t="s">
        <v>168</v>
      </c>
      <c r="S24" t="s">
        <v>468</v>
      </c>
    </row>
    <row r="25" spans="2:19" x14ac:dyDescent="0.25">
      <c r="B25" s="95"/>
      <c r="C25" t="s">
        <v>439</v>
      </c>
      <c r="D25">
        <v>3</v>
      </c>
      <c r="E25" s="5" t="s">
        <v>171</v>
      </c>
      <c r="G25" s="6" t="s">
        <v>61</v>
      </c>
      <c r="H25" t="s">
        <v>57</v>
      </c>
      <c r="I25">
        <v>66037.057000000001</v>
      </c>
      <c r="J25">
        <f t="shared" si="0"/>
        <v>8804.9409333333333</v>
      </c>
      <c r="K25">
        <v>66043.021999999997</v>
      </c>
      <c r="L25" s="5">
        <f t="shared" si="1"/>
        <v>8805.7362666666668</v>
      </c>
      <c r="R25" t="s">
        <v>469</v>
      </c>
      <c r="S25" t="s">
        <v>470</v>
      </c>
    </row>
    <row r="26" spans="2:19" x14ac:dyDescent="0.25">
      <c r="B26" s="95"/>
      <c r="C26" t="s">
        <v>440</v>
      </c>
      <c r="D26">
        <v>1</v>
      </c>
      <c r="E26" s="5" t="s">
        <v>171</v>
      </c>
      <c r="G26" s="6" t="s">
        <v>62</v>
      </c>
      <c r="H26" t="s">
        <v>63</v>
      </c>
      <c r="I26">
        <v>211.15737999999999</v>
      </c>
      <c r="J26">
        <f t="shared" si="0"/>
        <v>28.154317333333331</v>
      </c>
      <c r="K26">
        <v>211.17046999999999</v>
      </c>
      <c r="L26" s="5">
        <f t="shared" si="1"/>
        <v>28.156062666666667</v>
      </c>
      <c r="R26" t="s">
        <v>152</v>
      </c>
      <c r="S26" t="s">
        <v>153</v>
      </c>
    </row>
    <row r="27" spans="2:19" x14ac:dyDescent="0.25">
      <c r="B27" s="95" t="s">
        <v>448</v>
      </c>
      <c r="C27" s="40" t="s">
        <v>463</v>
      </c>
      <c r="D27" s="40">
        <v>28.22232</v>
      </c>
      <c r="E27" s="43" t="s">
        <v>237</v>
      </c>
      <c r="G27" s="6" t="s">
        <v>64</v>
      </c>
      <c r="H27" t="s">
        <v>65</v>
      </c>
      <c r="I27">
        <v>168.67442</v>
      </c>
      <c r="J27">
        <f t="shared" si="0"/>
        <v>22.489922666666665</v>
      </c>
      <c r="K27">
        <v>168.67787999999999</v>
      </c>
      <c r="L27" s="5">
        <f t="shared" si="1"/>
        <v>22.490383999999999</v>
      </c>
      <c r="R27" t="s">
        <v>154</v>
      </c>
      <c r="S27" t="s">
        <v>155</v>
      </c>
    </row>
    <row r="28" spans="2:19" x14ac:dyDescent="0.25">
      <c r="B28" s="93"/>
      <c r="C28" s="41" t="s">
        <v>464</v>
      </c>
      <c r="D28" s="41">
        <v>7349.86</v>
      </c>
      <c r="E28" s="44" t="s">
        <v>237</v>
      </c>
      <c r="G28" s="6" t="s">
        <v>66</v>
      </c>
      <c r="H28" t="s">
        <v>67</v>
      </c>
      <c r="I28">
        <v>875.62007000000006</v>
      </c>
      <c r="J28">
        <f t="shared" si="0"/>
        <v>116.74934266666668</v>
      </c>
      <c r="K28">
        <v>875.80381999999997</v>
      </c>
      <c r="L28" s="5">
        <f t="shared" si="1"/>
        <v>116.77384266666667</v>
      </c>
      <c r="R28" t="s">
        <v>156</v>
      </c>
      <c r="S28" t="s">
        <v>157</v>
      </c>
    </row>
    <row r="29" spans="2:19" ht="15.75" thickBot="1" x14ac:dyDescent="0.3">
      <c r="B29" s="6"/>
      <c r="E29" s="5"/>
      <c r="G29" s="7" t="s">
        <v>68</v>
      </c>
      <c r="H29" s="8" t="s">
        <v>69</v>
      </c>
      <c r="I29" s="8">
        <v>31.229399999999998</v>
      </c>
      <c r="J29" s="8">
        <f t="shared" si="0"/>
        <v>4.1639200000000001</v>
      </c>
      <c r="K29" s="8">
        <v>31.268913999999999</v>
      </c>
      <c r="L29" s="9">
        <f t="shared" si="1"/>
        <v>4.1691885333333332</v>
      </c>
      <c r="R29" t="s">
        <v>158</v>
      </c>
      <c r="S29" t="s">
        <v>159</v>
      </c>
    </row>
    <row r="30" spans="2:19" x14ac:dyDescent="0.25">
      <c r="B30" s="76" t="s">
        <v>13</v>
      </c>
      <c r="C30" s="77"/>
      <c r="D30" s="77"/>
      <c r="E30" s="78"/>
      <c r="R30" t="s">
        <v>160</v>
      </c>
      <c r="S30" t="s">
        <v>159</v>
      </c>
    </row>
    <row r="31" spans="2:19" x14ac:dyDescent="0.25">
      <c r="B31" s="6"/>
      <c r="C31" t="s">
        <v>465</v>
      </c>
      <c r="D31">
        <v>12.669700000000001</v>
      </c>
      <c r="E31" s="5" t="s">
        <v>23</v>
      </c>
      <c r="R31" t="s">
        <v>161</v>
      </c>
      <c r="S31" t="s">
        <v>162</v>
      </c>
    </row>
    <row r="32" spans="2:19" x14ac:dyDescent="0.25">
      <c r="B32" s="6"/>
      <c r="C32" t="s">
        <v>371</v>
      </c>
      <c r="D32">
        <v>30.203608469613528</v>
      </c>
      <c r="E32" s="5" t="s">
        <v>27</v>
      </c>
      <c r="R32" t="s">
        <v>163</v>
      </c>
      <c r="S32" t="s">
        <v>164</v>
      </c>
    </row>
    <row r="33" spans="2:23" x14ac:dyDescent="0.25">
      <c r="B33" s="6"/>
      <c r="C33" t="s">
        <v>454</v>
      </c>
      <c r="D33">
        <v>3.0203608469613528</v>
      </c>
      <c r="E33" s="5" t="s">
        <v>195</v>
      </c>
    </row>
    <row r="34" spans="2:23" x14ac:dyDescent="0.25">
      <c r="B34" s="6"/>
      <c r="C34" t="s">
        <v>350</v>
      </c>
      <c r="D34">
        <v>13.983152069265524</v>
      </c>
      <c r="E34" s="5" t="s">
        <v>23</v>
      </c>
      <c r="R34" t="s">
        <v>162</v>
      </c>
      <c r="S34" t="s">
        <v>12</v>
      </c>
      <c r="T34" t="s">
        <v>471</v>
      </c>
      <c r="U34" t="s">
        <v>472</v>
      </c>
      <c r="V34" t="s">
        <v>473</v>
      </c>
      <c r="W34" t="s">
        <v>474</v>
      </c>
    </row>
    <row r="35" spans="2:23" x14ac:dyDescent="0.25">
      <c r="B35" s="6"/>
      <c r="C35" t="s">
        <v>455</v>
      </c>
      <c r="D35">
        <v>1.5009742274469149</v>
      </c>
      <c r="E35" s="5" t="s">
        <v>23</v>
      </c>
      <c r="R35" t="s">
        <v>39</v>
      </c>
      <c r="S35" t="s">
        <v>40</v>
      </c>
      <c r="T35">
        <v>1999.6210000000001</v>
      </c>
      <c r="U35">
        <v>2242.6102000000001</v>
      </c>
      <c r="V35">
        <v>4217.7241000000004</v>
      </c>
      <c r="W35">
        <v>4230.5820999999996</v>
      </c>
    </row>
    <row r="36" spans="2:23" x14ac:dyDescent="0.25">
      <c r="B36" s="6"/>
      <c r="C36" t="s">
        <v>456</v>
      </c>
      <c r="D36">
        <v>6.9112701879353811E-2</v>
      </c>
      <c r="E36" s="5" t="s">
        <v>23</v>
      </c>
      <c r="R36" t="s">
        <v>41</v>
      </c>
      <c r="S36" t="s">
        <v>42</v>
      </c>
      <c r="T36">
        <v>6.8697957999999996E-4</v>
      </c>
      <c r="U36">
        <v>7.2697064E-4</v>
      </c>
      <c r="V36">
        <v>4.2581375999999997E-2</v>
      </c>
      <c r="W36">
        <v>4.2582599999999998E-2</v>
      </c>
    </row>
    <row r="37" spans="2:23" x14ac:dyDescent="0.25">
      <c r="B37" s="6"/>
      <c r="C37" t="s">
        <v>457</v>
      </c>
      <c r="D37">
        <v>0.69089520810204053</v>
      </c>
      <c r="E37" s="5" t="s">
        <v>23</v>
      </c>
      <c r="R37" t="s">
        <v>43</v>
      </c>
      <c r="S37" t="s">
        <v>44</v>
      </c>
      <c r="T37">
        <v>66.347902000000005</v>
      </c>
      <c r="U37">
        <v>67.399479999999997</v>
      </c>
      <c r="V37">
        <v>180.46018000000001</v>
      </c>
      <c r="W37">
        <v>180.47622000000001</v>
      </c>
    </row>
    <row r="38" spans="2:23" x14ac:dyDescent="0.25">
      <c r="B38" s="6"/>
      <c r="C38" t="s">
        <v>458</v>
      </c>
      <c r="D38">
        <v>2.8065651577744299</v>
      </c>
      <c r="E38" s="5" t="s">
        <v>23</v>
      </c>
      <c r="R38" t="s">
        <v>45</v>
      </c>
      <c r="S38" t="s">
        <v>46</v>
      </c>
      <c r="T38">
        <v>11.197285000000001</v>
      </c>
      <c r="U38">
        <v>11.278546</v>
      </c>
      <c r="V38">
        <v>13.062687</v>
      </c>
      <c r="W38">
        <v>13.066128000000001</v>
      </c>
    </row>
    <row r="39" spans="2:23" ht="15.75" thickBot="1" x14ac:dyDescent="0.3">
      <c r="B39" s="7"/>
      <c r="C39" s="8" t="s">
        <v>459</v>
      </c>
      <c r="D39" s="8">
        <v>5.47238810999675</v>
      </c>
      <c r="E39" s="9" t="s">
        <v>23</v>
      </c>
      <c r="R39" t="s">
        <v>47</v>
      </c>
      <c r="S39" t="s">
        <v>48</v>
      </c>
      <c r="T39">
        <v>16.536812999999999</v>
      </c>
      <c r="U39">
        <v>16.630172000000002</v>
      </c>
      <c r="V39">
        <v>17.235811000000002</v>
      </c>
      <c r="W39">
        <v>17.253782000000001</v>
      </c>
    </row>
    <row r="40" spans="2:23" x14ac:dyDescent="0.25">
      <c r="R40" t="s">
        <v>49</v>
      </c>
      <c r="S40" t="s">
        <v>46</v>
      </c>
      <c r="T40">
        <v>11.469867000000001</v>
      </c>
      <c r="U40">
        <v>11.553993999999999</v>
      </c>
      <c r="V40">
        <v>13.496828000000001</v>
      </c>
      <c r="W40">
        <v>13.500363999999999</v>
      </c>
    </row>
    <row r="41" spans="2:23" ht="15.75" thickBot="1" x14ac:dyDescent="0.3">
      <c r="R41" t="s">
        <v>50</v>
      </c>
      <c r="S41" t="s">
        <v>51</v>
      </c>
      <c r="T41">
        <v>52.342844999999997</v>
      </c>
      <c r="U41">
        <v>52.400427000000001</v>
      </c>
      <c r="V41">
        <v>46.189096999999997</v>
      </c>
      <c r="W41">
        <v>46.191327999999999</v>
      </c>
    </row>
    <row r="42" spans="2:23" x14ac:dyDescent="0.25">
      <c r="B42" s="79" t="s">
        <v>1</v>
      </c>
      <c r="C42" s="80"/>
      <c r="D42" s="80"/>
      <c r="E42" s="81"/>
      <c r="G42" s="79" t="s">
        <v>70</v>
      </c>
      <c r="H42" s="80"/>
      <c r="I42" s="80"/>
      <c r="J42" s="80"/>
      <c r="K42" s="80"/>
      <c r="L42" s="81"/>
      <c r="R42" t="s">
        <v>52</v>
      </c>
      <c r="S42" t="s">
        <v>53</v>
      </c>
      <c r="T42">
        <v>0.90892740000000005</v>
      </c>
      <c r="U42">
        <v>1.0712763999999999</v>
      </c>
      <c r="V42">
        <v>6.9567582000000003</v>
      </c>
      <c r="W42">
        <v>6.9592597999999999</v>
      </c>
    </row>
    <row r="43" spans="2:23" x14ac:dyDescent="0.25">
      <c r="B43" s="74" t="s">
        <v>14</v>
      </c>
      <c r="C43" s="75"/>
      <c r="D43" s="75"/>
      <c r="E43" s="5" t="s">
        <v>444</v>
      </c>
      <c r="G43" s="74" t="s">
        <v>38</v>
      </c>
      <c r="H43" s="75"/>
      <c r="I43" s="75"/>
      <c r="J43">
        <v>30</v>
      </c>
      <c r="L43" s="5"/>
      <c r="R43" t="s">
        <v>54</v>
      </c>
      <c r="S43" t="s">
        <v>55</v>
      </c>
      <c r="T43">
        <v>0.10647797000000001</v>
      </c>
      <c r="U43">
        <v>0.11429164</v>
      </c>
      <c r="V43">
        <v>0.28250291</v>
      </c>
      <c r="W43">
        <v>0.28271583</v>
      </c>
    </row>
    <row r="44" spans="2:23" x14ac:dyDescent="0.25">
      <c r="B44" s="74" t="s">
        <v>15</v>
      </c>
      <c r="C44" s="75"/>
      <c r="D44" s="75"/>
      <c r="E44" s="5" t="s">
        <v>445</v>
      </c>
      <c r="G44" s="74" t="s">
        <v>15</v>
      </c>
      <c r="H44" s="75"/>
      <c r="I44" s="75"/>
      <c r="J44" t="s">
        <v>8</v>
      </c>
      <c r="L44" s="5"/>
      <c r="R44" t="s">
        <v>56</v>
      </c>
      <c r="S44" t="s">
        <v>57</v>
      </c>
      <c r="T44">
        <v>10160.011</v>
      </c>
      <c r="U44">
        <v>10454.429</v>
      </c>
      <c r="V44">
        <v>240415.34</v>
      </c>
      <c r="W44">
        <v>240424.19</v>
      </c>
    </row>
    <row r="45" spans="2:23" x14ac:dyDescent="0.25">
      <c r="B45" s="4"/>
      <c r="C45" s="3"/>
      <c r="D45" s="3"/>
      <c r="E45" s="5"/>
      <c r="G45" s="10" t="s">
        <v>19</v>
      </c>
      <c r="H45" s="104" t="s">
        <v>21</v>
      </c>
      <c r="I45" s="104"/>
      <c r="J45" s="104"/>
      <c r="K45" s="104"/>
      <c r="L45" s="105"/>
      <c r="R45" t="s">
        <v>58</v>
      </c>
      <c r="S45" t="s">
        <v>57</v>
      </c>
      <c r="T45">
        <v>292.87486000000001</v>
      </c>
      <c r="U45">
        <v>303.3</v>
      </c>
      <c r="V45">
        <v>4853.1170000000002</v>
      </c>
      <c r="W45">
        <v>4853.6489000000001</v>
      </c>
    </row>
    <row r="46" spans="2:23" x14ac:dyDescent="0.25">
      <c r="B46" s="90" t="s">
        <v>7</v>
      </c>
      <c r="C46" s="91"/>
      <c r="D46" s="91"/>
      <c r="E46" s="92"/>
      <c r="G46" s="6" t="s">
        <v>71</v>
      </c>
      <c r="I46" s="85" t="s">
        <v>86</v>
      </c>
      <c r="J46" s="85"/>
      <c r="K46" s="85" t="s">
        <v>72</v>
      </c>
      <c r="L46" s="106"/>
      <c r="R46" t="s">
        <v>59</v>
      </c>
      <c r="S46" t="s">
        <v>57</v>
      </c>
      <c r="T46">
        <v>388.79226999999997</v>
      </c>
      <c r="U46">
        <v>403.57107999999999</v>
      </c>
      <c r="V46">
        <v>6143.9663</v>
      </c>
      <c r="W46">
        <v>6144.6698999999999</v>
      </c>
    </row>
    <row r="47" spans="2:23" x14ac:dyDescent="0.25">
      <c r="B47" s="6" t="s">
        <v>9</v>
      </c>
      <c r="C47" t="s">
        <v>10</v>
      </c>
      <c r="D47" t="s">
        <v>11</v>
      </c>
      <c r="E47" s="5" t="s">
        <v>12</v>
      </c>
      <c r="G47" s="6" t="s">
        <v>17</v>
      </c>
      <c r="H47" t="s">
        <v>12</v>
      </c>
      <c r="I47" t="s">
        <v>18</v>
      </c>
      <c r="J47" t="s">
        <v>20</v>
      </c>
      <c r="K47" t="s">
        <v>18</v>
      </c>
      <c r="L47" s="5" t="s">
        <v>20</v>
      </c>
      <c r="R47" t="s">
        <v>60</v>
      </c>
      <c r="S47" t="s">
        <v>57</v>
      </c>
      <c r="T47">
        <v>3565.9052000000001</v>
      </c>
      <c r="U47">
        <v>3574.9675999999999</v>
      </c>
      <c r="V47">
        <v>2772.3285999999998</v>
      </c>
      <c r="W47">
        <v>2773.9629</v>
      </c>
    </row>
    <row r="48" spans="2:23" x14ac:dyDescent="0.25">
      <c r="B48" s="95" t="s">
        <v>447</v>
      </c>
      <c r="C48" s="38" t="s">
        <v>427</v>
      </c>
      <c r="D48">
        <v>1524</v>
      </c>
      <c r="E48" s="5" t="s">
        <v>23</v>
      </c>
      <c r="G48" s="6" t="s">
        <v>39</v>
      </c>
      <c r="H48" t="s">
        <v>40</v>
      </c>
      <c r="I48">
        <v>1999.6210000000001</v>
      </c>
      <c r="J48">
        <f>I48/$J$43</f>
        <v>66.654033333333331</v>
      </c>
      <c r="K48">
        <v>2242.6102000000001</v>
      </c>
      <c r="L48" s="5">
        <f>K48/$J$43</f>
        <v>74.753673333333339</v>
      </c>
      <c r="R48" t="s">
        <v>61</v>
      </c>
      <c r="S48" t="s">
        <v>57</v>
      </c>
      <c r="T48">
        <v>6660.4570000000003</v>
      </c>
      <c r="U48">
        <v>6796.2039000000004</v>
      </c>
      <c r="V48">
        <v>66037.057000000001</v>
      </c>
      <c r="W48">
        <v>66043.021999999997</v>
      </c>
    </row>
    <row r="49" spans="2:23" x14ac:dyDescent="0.25">
      <c r="B49" s="95"/>
      <c r="C49" s="38" t="s">
        <v>428</v>
      </c>
      <c r="D49">
        <v>43.207000000000001</v>
      </c>
      <c r="E49" s="5" t="s">
        <v>23</v>
      </c>
      <c r="G49" s="6" t="s">
        <v>41</v>
      </c>
      <c r="H49" t="s">
        <v>42</v>
      </c>
      <c r="I49">
        <v>6.8697957999999996E-4</v>
      </c>
      <c r="J49">
        <f t="shared" ref="J49:J65" si="2">I49/$J$43</f>
        <v>2.2899319333333331E-5</v>
      </c>
      <c r="K49">
        <v>7.2697064E-4</v>
      </c>
      <c r="L49" s="5">
        <f t="shared" ref="L49:L65" si="3">K49/$J$43</f>
        <v>2.4232354666666666E-5</v>
      </c>
      <c r="R49" t="s">
        <v>62</v>
      </c>
      <c r="S49" t="s">
        <v>63</v>
      </c>
      <c r="T49">
        <v>148.47315</v>
      </c>
      <c r="U49">
        <v>148.86628999999999</v>
      </c>
      <c r="V49">
        <v>211.15737999999999</v>
      </c>
      <c r="W49">
        <v>211.17046999999999</v>
      </c>
    </row>
    <row r="50" spans="2:23" x14ac:dyDescent="0.25">
      <c r="B50" s="95"/>
      <c r="C50" t="s">
        <v>446</v>
      </c>
      <c r="D50">
        <v>0.1065501285562151</v>
      </c>
      <c r="E50" s="5" t="s">
        <v>69</v>
      </c>
      <c r="G50" s="6" t="s">
        <v>43</v>
      </c>
      <c r="H50" t="s">
        <v>44</v>
      </c>
      <c r="I50">
        <v>66.347902000000005</v>
      </c>
      <c r="J50">
        <f t="shared" si="2"/>
        <v>2.2115967333333333</v>
      </c>
      <c r="K50">
        <v>67.399479999999997</v>
      </c>
      <c r="L50" s="5">
        <f t="shared" si="3"/>
        <v>2.2466493333333331</v>
      </c>
      <c r="R50" t="s">
        <v>64</v>
      </c>
      <c r="S50" t="s">
        <v>65</v>
      </c>
      <c r="T50">
        <v>40.987411999999999</v>
      </c>
      <c r="U50">
        <v>41.052874000000003</v>
      </c>
      <c r="V50">
        <v>168.67442</v>
      </c>
      <c r="W50">
        <v>168.67787999999999</v>
      </c>
    </row>
    <row r="51" spans="2:23" x14ac:dyDescent="0.25">
      <c r="B51" s="95"/>
      <c r="C51" s="38" t="s">
        <v>438</v>
      </c>
      <c r="D51">
        <v>279.6009492358022</v>
      </c>
      <c r="E51" s="5" t="s">
        <v>23</v>
      </c>
      <c r="G51" s="6" t="s">
        <v>45</v>
      </c>
      <c r="H51" t="s">
        <v>46</v>
      </c>
      <c r="I51">
        <v>11.197285000000001</v>
      </c>
      <c r="J51">
        <f t="shared" si="2"/>
        <v>0.37324283333333336</v>
      </c>
      <c r="K51">
        <v>11.278546</v>
      </c>
      <c r="L51" s="5">
        <f t="shared" si="3"/>
        <v>0.37595153333333337</v>
      </c>
      <c r="R51" t="s">
        <v>66</v>
      </c>
      <c r="S51" t="s">
        <v>67</v>
      </c>
      <c r="T51">
        <v>558.49035000000003</v>
      </c>
      <c r="U51">
        <v>564.01270999999997</v>
      </c>
      <c r="V51">
        <v>875.62007000000006</v>
      </c>
      <c r="W51">
        <v>875.80381999999997</v>
      </c>
    </row>
    <row r="52" spans="2:23" x14ac:dyDescent="0.25">
      <c r="B52" s="95" t="s">
        <v>448</v>
      </c>
      <c r="C52" t="s">
        <v>449</v>
      </c>
      <c r="D52">
        <v>147.31735023737394</v>
      </c>
      <c r="E52" s="5" t="s">
        <v>450</v>
      </c>
      <c r="G52" s="6" t="s">
        <v>47</v>
      </c>
      <c r="H52" t="s">
        <v>48</v>
      </c>
      <c r="I52">
        <v>16.536812999999999</v>
      </c>
      <c r="J52">
        <f t="shared" si="2"/>
        <v>0.55122709999999997</v>
      </c>
      <c r="K52">
        <v>16.630172000000002</v>
      </c>
      <c r="L52" s="5">
        <f t="shared" si="3"/>
        <v>0.55433906666666677</v>
      </c>
      <c r="R52" t="s">
        <v>68</v>
      </c>
      <c r="S52" t="s">
        <v>69</v>
      </c>
      <c r="T52">
        <v>20.519887000000001</v>
      </c>
      <c r="U52">
        <v>20.661128999999999</v>
      </c>
      <c r="V52">
        <v>31.229399999999998</v>
      </c>
      <c r="W52">
        <v>31.268913999999999</v>
      </c>
    </row>
    <row r="53" spans="2:23" x14ac:dyDescent="0.25">
      <c r="B53" s="93"/>
      <c r="C53" s="2" t="s">
        <v>451</v>
      </c>
      <c r="D53" s="2">
        <v>36824.080424018444</v>
      </c>
      <c r="E53" s="14" t="s">
        <v>450</v>
      </c>
      <c r="G53" s="6" t="s">
        <v>49</v>
      </c>
      <c r="H53" t="s">
        <v>46</v>
      </c>
      <c r="I53">
        <v>11.469867000000001</v>
      </c>
      <c r="J53">
        <f t="shared" si="2"/>
        <v>0.38232890000000003</v>
      </c>
      <c r="K53">
        <v>11.553993999999999</v>
      </c>
      <c r="L53" s="5">
        <f t="shared" si="3"/>
        <v>0.38513313333333332</v>
      </c>
    </row>
    <row r="54" spans="2:23" x14ac:dyDescent="0.25">
      <c r="B54" s="6"/>
      <c r="E54" s="5"/>
      <c r="G54" s="6" t="s">
        <v>50</v>
      </c>
      <c r="H54" t="s">
        <v>51</v>
      </c>
      <c r="I54">
        <v>52.342844999999997</v>
      </c>
      <c r="J54">
        <f t="shared" si="2"/>
        <v>1.7447614999999999</v>
      </c>
      <c r="K54">
        <v>52.400427000000001</v>
      </c>
      <c r="L54" s="5">
        <f t="shared" si="3"/>
        <v>1.7466809000000001</v>
      </c>
    </row>
    <row r="55" spans="2:23" x14ac:dyDescent="0.25">
      <c r="B55" s="76" t="s">
        <v>13</v>
      </c>
      <c r="C55" s="77"/>
      <c r="D55" s="77"/>
      <c r="E55" s="78"/>
      <c r="G55" s="6" t="s">
        <v>52</v>
      </c>
      <c r="H55" t="s">
        <v>53</v>
      </c>
      <c r="I55">
        <v>0.90892740000000005</v>
      </c>
      <c r="J55">
        <f t="shared" si="2"/>
        <v>3.0297580000000001E-2</v>
      </c>
      <c r="K55">
        <v>1.0712763999999999</v>
      </c>
      <c r="L55" s="5">
        <f t="shared" si="3"/>
        <v>3.570921333333333E-2</v>
      </c>
    </row>
    <row r="56" spans="2:23" x14ac:dyDescent="0.25">
      <c r="B56" s="6"/>
      <c r="C56" t="s">
        <v>452</v>
      </c>
      <c r="D56">
        <v>76.2</v>
      </c>
      <c r="E56" s="5" t="s">
        <v>23</v>
      </c>
      <c r="G56" s="6" t="s">
        <v>54</v>
      </c>
      <c r="H56" t="s">
        <v>55</v>
      </c>
      <c r="I56">
        <v>0.10647797000000001</v>
      </c>
      <c r="J56">
        <f t="shared" si="2"/>
        <v>3.549265666666667E-3</v>
      </c>
      <c r="K56">
        <v>0.11429164</v>
      </c>
      <c r="L56" s="5">
        <f t="shared" si="3"/>
        <v>3.8097213333333334E-3</v>
      </c>
    </row>
    <row r="57" spans="2:23" x14ac:dyDescent="0.25">
      <c r="B57" s="6"/>
      <c r="C57" t="s">
        <v>453</v>
      </c>
      <c r="D57">
        <v>43.21</v>
      </c>
      <c r="E57" s="5" t="s">
        <v>23</v>
      </c>
      <c r="G57" s="6" t="s">
        <v>56</v>
      </c>
      <c r="H57" t="s">
        <v>57</v>
      </c>
      <c r="I57">
        <v>10160.011</v>
      </c>
      <c r="J57">
        <f t="shared" si="2"/>
        <v>338.66703333333334</v>
      </c>
      <c r="K57">
        <v>10454.429</v>
      </c>
      <c r="L57" s="5">
        <f t="shared" si="3"/>
        <v>348.48096666666669</v>
      </c>
    </row>
    <row r="58" spans="2:23" x14ac:dyDescent="0.25">
      <c r="B58" s="6"/>
      <c r="C58" t="s">
        <v>454</v>
      </c>
      <c r="D58">
        <v>0.43206</v>
      </c>
      <c r="E58" s="5" t="s">
        <v>195</v>
      </c>
      <c r="G58" s="6" t="s">
        <v>58</v>
      </c>
      <c r="H58" t="s">
        <v>57</v>
      </c>
      <c r="I58">
        <v>292.87486000000001</v>
      </c>
      <c r="J58">
        <f t="shared" si="2"/>
        <v>9.7624953333333337</v>
      </c>
      <c r="K58">
        <v>303.3</v>
      </c>
      <c r="L58" s="5">
        <f t="shared" si="3"/>
        <v>10.110000000000001</v>
      </c>
    </row>
    <row r="59" spans="2:23" x14ac:dyDescent="0.25">
      <c r="B59" s="6"/>
      <c r="C59" t="s">
        <v>181</v>
      </c>
      <c r="D59">
        <v>2.16032</v>
      </c>
      <c r="E59" s="5" t="s">
        <v>180</v>
      </c>
      <c r="G59" s="6" t="s">
        <v>59</v>
      </c>
      <c r="H59" t="s">
        <v>57</v>
      </c>
      <c r="I59">
        <v>388.79226999999997</v>
      </c>
      <c r="J59">
        <f t="shared" si="2"/>
        <v>12.959742333333333</v>
      </c>
      <c r="K59">
        <v>403.57107999999999</v>
      </c>
      <c r="L59" s="5">
        <f t="shared" si="3"/>
        <v>13.452369333333333</v>
      </c>
    </row>
    <row r="60" spans="2:23" x14ac:dyDescent="0.25">
      <c r="B60" s="6"/>
      <c r="C60" t="s">
        <v>371</v>
      </c>
      <c r="D60">
        <v>30.203608469613528</v>
      </c>
      <c r="E60" s="5" t="s">
        <v>27</v>
      </c>
      <c r="G60" s="6" t="s">
        <v>60</v>
      </c>
      <c r="H60" t="s">
        <v>57</v>
      </c>
      <c r="I60">
        <v>3565.9052000000001</v>
      </c>
      <c r="J60">
        <f t="shared" si="2"/>
        <v>118.86350666666667</v>
      </c>
      <c r="K60">
        <v>3574.9675999999999</v>
      </c>
      <c r="L60" s="5">
        <f t="shared" si="3"/>
        <v>119.16558666666667</v>
      </c>
    </row>
    <row r="61" spans="2:23" x14ac:dyDescent="0.25">
      <c r="B61" s="6"/>
      <c r="C61" t="s">
        <v>454</v>
      </c>
      <c r="D61">
        <v>3.0203608469613528</v>
      </c>
      <c r="E61" s="5" t="s">
        <v>195</v>
      </c>
      <c r="G61" s="6" t="s">
        <v>61</v>
      </c>
      <c r="H61" t="s">
        <v>57</v>
      </c>
      <c r="I61">
        <v>6660.4570000000003</v>
      </c>
      <c r="J61">
        <f t="shared" si="2"/>
        <v>222.01523333333336</v>
      </c>
      <c r="K61">
        <v>6796.2039000000004</v>
      </c>
      <c r="L61" s="5">
        <f t="shared" si="3"/>
        <v>226.54013</v>
      </c>
    </row>
    <row r="62" spans="2:23" x14ac:dyDescent="0.25">
      <c r="B62" s="6"/>
      <c r="C62" t="s">
        <v>350</v>
      </c>
      <c r="D62">
        <v>13.983152069265524</v>
      </c>
      <c r="E62" s="5" t="s">
        <v>23</v>
      </c>
      <c r="G62" s="6" t="s">
        <v>62</v>
      </c>
      <c r="H62" t="s">
        <v>63</v>
      </c>
      <c r="I62">
        <v>148.47315</v>
      </c>
      <c r="J62">
        <f t="shared" si="2"/>
        <v>4.9491050000000003</v>
      </c>
      <c r="K62">
        <v>148.86628999999999</v>
      </c>
      <c r="L62" s="5">
        <f t="shared" si="3"/>
        <v>4.9622096666666664</v>
      </c>
    </row>
    <row r="63" spans="2:23" x14ac:dyDescent="0.25">
      <c r="B63" s="6"/>
      <c r="C63" t="s">
        <v>455</v>
      </c>
      <c r="D63">
        <v>1.5009742274469149</v>
      </c>
      <c r="E63" s="5" t="s">
        <v>23</v>
      </c>
      <c r="G63" s="6" t="s">
        <v>64</v>
      </c>
      <c r="H63" t="s">
        <v>65</v>
      </c>
      <c r="I63">
        <v>40.987411999999999</v>
      </c>
      <c r="J63">
        <f t="shared" si="2"/>
        <v>1.3662470666666666</v>
      </c>
      <c r="K63">
        <v>41.052874000000003</v>
      </c>
      <c r="L63" s="5">
        <f t="shared" si="3"/>
        <v>1.3684291333333334</v>
      </c>
    </row>
    <row r="64" spans="2:23" x14ac:dyDescent="0.25">
      <c r="B64" s="6"/>
      <c r="C64" t="s">
        <v>456</v>
      </c>
      <c r="D64">
        <v>6.9112701879353811E-2</v>
      </c>
      <c r="E64" s="5" t="s">
        <v>23</v>
      </c>
      <c r="G64" s="6" t="s">
        <v>66</v>
      </c>
      <c r="H64" t="s">
        <v>67</v>
      </c>
      <c r="I64">
        <v>558.49035000000003</v>
      </c>
      <c r="J64">
        <f t="shared" si="2"/>
        <v>18.616345000000003</v>
      </c>
      <c r="K64">
        <v>564.01270999999997</v>
      </c>
      <c r="L64" s="5">
        <f t="shared" si="3"/>
        <v>18.800423666666667</v>
      </c>
    </row>
    <row r="65" spans="2:12" ht="15.75" thickBot="1" x14ac:dyDescent="0.3">
      <c r="B65" s="6"/>
      <c r="C65" t="s">
        <v>457</v>
      </c>
      <c r="D65">
        <v>0.69089520810204053</v>
      </c>
      <c r="E65" s="5" t="s">
        <v>23</v>
      </c>
      <c r="G65" s="7" t="s">
        <v>68</v>
      </c>
      <c r="H65" s="8" t="s">
        <v>69</v>
      </c>
      <c r="I65" s="8">
        <v>20.519887000000001</v>
      </c>
      <c r="J65" s="8">
        <f t="shared" si="2"/>
        <v>0.68399623333333337</v>
      </c>
      <c r="K65" s="8">
        <v>20.661128999999999</v>
      </c>
      <c r="L65" s="9">
        <f t="shared" si="3"/>
        <v>0.68870429999999994</v>
      </c>
    </row>
    <row r="66" spans="2:12" x14ac:dyDescent="0.25">
      <c r="B66" s="6"/>
      <c r="C66" t="s">
        <v>458</v>
      </c>
      <c r="D66">
        <v>2.8065651577744299</v>
      </c>
      <c r="E66" s="5" t="s">
        <v>23</v>
      </c>
    </row>
    <row r="67" spans="2:12" ht="15.75" thickBot="1" x14ac:dyDescent="0.3">
      <c r="B67" s="7"/>
      <c r="C67" s="8" t="s">
        <v>459</v>
      </c>
      <c r="D67" s="8">
        <v>5.47238810999675</v>
      </c>
      <c r="E67" s="9" t="s">
        <v>23</v>
      </c>
    </row>
    <row r="69" spans="2:12" ht="15.75" thickBot="1" x14ac:dyDescent="0.3"/>
    <row r="70" spans="2:12" x14ac:dyDescent="0.25">
      <c r="B70" s="82" t="s">
        <v>111</v>
      </c>
      <c r="C70" s="83"/>
      <c r="D70" s="83"/>
      <c r="E70" s="83"/>
      <c r="F70" s="84"/>
    </row>
    <row r="71" spans="2:12" x14ac:dyDescent="0.25">
      <c r="B71" s="102" t="s">
        <v>441</v>
      </c>
      <c r="C71" s="103"/>
      <c r="D71" s="39"/>
      <c r="E71" s="39"/>
      <c r="F71" s="14"/>
    </row>
    <row r="72" spans="2:12" x14ac:dyDescent="0.25">
      <c r="B72" s="6" t="s">
        <v>123</v>
      </c>
      <c r="C72" s="18" t="s">
        <v>7</v>
      </c>
      <c r="D72" t="s">
        <v>120</v>
      </c>
      <c r="E72" t="s">
        <v>119</v>
      </c>
      <c r="F72" s="5" t="s">
        <v>12</v>
      </c>
    </row>
    <row r="73" spans="2:12" x14ac:dyDescent="0.25">
      <c r="B73" s="6" t="s">
        <v>119</v>
      </c>
      <c r="C73" s="38" t="s">
        <v>425</v>
      </c>
      <c r="D73">
        <v>0</v>
      </c>
      <c r="E73">
        <v>159.553</v>
      </c>
      <c r="F73" s="5" t="s">
        <v>23</v>
      </c>
    </row>
    <row r="74" spans="2:12" x14ac:dyDescent="0.25">
      <c r="B74" s="6" t="s">
        <v>119</v>
      </c>
      <c r="C74" s="38" t="s">
        <v>416</v>
      </c>
      <c r="D74">
        <v>0</v>
      </c>
      <c r="E74">
        <v>11.0555</v>
      </c>
      <c r="F74" s="5" t="s">
        <v>23</v>
      </c>
    </row>
    <row r="75" spans="2:12" x14ac:dyDescent="0.25">
      <c r="B75" s="6" t="s">
        <v>119</v>
      </c>
      <c r="C75" s="38" t="s">
        <v>426</v>
      </c>
      <c r="D75">
        <v>0</v>
      </c>
      <c r="E75">
        <v>57.253100000000003</v>
      </c>
      <c r="F75" s="5" t="s">
        <v>23</v>
      </c>
    </row>
    <row r="76" spans="2:12" x14ac:dyDescent="0.25">
      <c r="B76" s="6" t="s">
        <v>120</v>
      </c>
      <c r="C76" s="38" t="s">
        <v>427</v>
      </c>
      <c r="D76">
        <v>1524</v>
      </c>
      <c r="E76">
        <v>0</v>
      </c>
      <c r="F76" s="5" t="s">
        <v>23</v>
      </c>
    </row>
    <row r="77" spans="2:12" x14ac:dyDescent="0.25">
      <c r="B77" s="6" t="s">
        <v>120</v>
      </c>
      <c r="C77" s="38" t="s">
        <v>428</v>
      </c>
      <c r="D77">
        <v>43.206400000000002</v>
      </c>
      <c r="E77">
        <v>0</v>
      </c>
      <c r="F77" s="5" t="s">
        <v>23</v>
      </c>
    </row>
    <row r="78" spans="2:12" x14ac:dyDescent="0.25">
      <c r="B78" s="6" t="s">
        <v>119</v>
      </c>
      <c r="C78" s="38" t="s">
        <v>429</v>
      </c>
      <c r="D78">
        <v>0</v>
      </c>
      <c r="E78">
        <v>7.8143399999999996</v>
      </c>
      <c r="F78" s="5" t="s">
        <v>23</v>
      </c>
    </row>
    <row r="79" spans="2:12" x14ac:dyDescent="0.25">
      <c r="B79" s="6" t="s">
        <v>119</v>
      </c>
      <c r="C79" s="38" t="s">
        <v>430</v>
      </c>
      <c r="D79">
        <v>0</v>
      </c>
      <c r="E79">
        <v>12.438800000000001</v>
      </c>
      <c r="F79" s="5" t="s">
        <v>23</v>
      </c>
    </row>
    <row r="80" spans="2:12" x14ac:dyDescent="0.25">
      <c r="B80" s="6" t="s">
        <v>119</v>
      </c>
      <c r="C80" s="38" t="s">
        <v>431</v>
      </c>
      <c r="D80">
        <v>0</v>
      </c>
      <c r="E80">
        <v>4.3593799999999998</v>
      </c>
      <c r="F80" s="5" t="s">
        <v>23</v>
      </c>
    </row>
    <row r="81" spans="2:105" x14ac:dyDescent="0.25">
      <c r="B81" s="6" t="s">
        <v>119</v>
      </c>
      <c r="C81" s="38" t="s">
        <v>432</v>
      </c>
      <c r="D81">
        <v>0</v>
      </c>
      <c r="E81">
        <v>12.177199999999999</v>
      </c>
      <c r="F81" s="5" t="s">
        <v>23</v>
      </c>
    </row>
    <row r="82" spans="2:105" x14ac:dyDescent="0.25">
      <c r="B82" s="6" t="s">
        <v>119</v>
      </c>
      <c r="C82" s="38" t="s">
        <v>433</v>
      </c>
      <c r="D82">
        <v>0</v>
      </c>
      <c r="E82">
        <v>0.83452000000000004</v>
      </c>
      <c r="F82" s="5" t="s">
        <v>23</v>
      </c>
    </row>
    <row r="83" spans="2:105" x14ac:dyDescent="0.25">
      <c r="B83" s="6" t="s">
        <v>119</v>
      </c>
      <c r="C83" s="38" t="s">
        <v>434</v>
      </c>
      <c r="D83">
        <v>0</v>
      </c>
      <c r="E83">
        <v>15</v>
      </c>
      <c r="F83" s="5" t="s">
        <v>23</v>
      </c>
    </row>
    <row r="84" spans="2:105" x14ac:dyDescent="0.25">
      <c r="B84" s="6" t="s">
        <v>119</v>
      </c>
      <c r="C84" s="38" t="s">
        <v>435</v>
      </c>
      <c r="D84">
        <v>0</v>
      </c>
      <c r="E84">
        <v>8.8931199999999997</v>
      </c>
      <c r="F84" s="5" t="s">
        <v>23</v>
      </c>
    </row>
    <row r="85" spans="2:105" x14ac:dyDescent="0.25">
      <c r="B85" s="6" t="s">
        <v>118</v>
      </c>
      <c r="C85" t="s">
        <v>436</v>
      </c>
      <c r="D85">
        <v>0.1065501285562151</v>
      </c>
      <c r="E85">
        <v>2.2149871443784913E-2</v>
      </c>
      <c r="F85" s="5" t="s">
        <v>69</v>
      </c>
    </row>
    <row r="86" spans="2:105" x14ac:dyDescent="0.25">
      <c r="B86" s="6" t="s">
        <v>119</v>
      </c>
      <c r="C86" s="38" t="s">
        <v>437</v>
      </c>
      <c r="D86">
        <v>0</v>
      </c>
      <c r="E86">
        <v>36.415300000000002</v>
      </c>
      <c r="F86" s="5" t="s">
        <v>23</v>
      </c>
    </row>
    <row r="87" spans="2:105" x14ac:dyDescent="0.25">
      <c r="B87" s="6" t="s">
        <v>118</v>
      </c>
      <c r="C87" s="38" t="s">
        <v>438</v>
      </c>
      <c r="D87">
        <v>279.6009492358022</v>
      </c>
      <c r="E87">
        <v>58.124050764197818</v>
      </c>
      <c r="F87" s="5" t="s">
        <v>23</v>
      </c>
    </row>
    <row r="88" spans="2:105" x14ac:dyDescent="0.25">
      <c r="B88" s="6" t="s">
        <v>119</v>
      </c>
      <c r="C88" t="s">
        <v>439</v>
      </c>
      <c r="D88">
        <v>0</v>
      </c>
      <c r="E88">
        <v>3</v>
      </c>
      <c r="F88" s="5" t="s">
        <v>171</v>
      </c>
    </row>
    <row r="89" spans="2:105" x14ac:dyDescent="0.25">
      <c r="B89" s="6" t="s">
        <v>119</v>
      </c>
      <c r="C89" t="s">
        <v>440</v>
      </c>
      <c r="D89">
        <v>0</v>
      </c>
      <c r="E89">
        <v>1</v>
      </c>
      <c r="F89" s="5" t="s">
        <v>171</v>
      </c>
    </row>
    <row r="90" spans="2:105" x14ac:dyDescent="0.25">
      <c r="B90" s="6" t="s">
        <v>118</v>
      </c>
      <c r="C90" t="s">
        <v>181</v>
      </c>
      <c r="D90">
        <v>38.654432807223642</v>
      </c>
      <c r="E90">
        <v>8.0355671927763606</v>
      </c>
      <c r="F90" s="5" t="s">
        <v>180</v>
      </c>
    </row>
    <row r="91" spans="2:105" x14ac:dyDescent="0.25">
      <c r="B91" s="6" t="s">
        <v>118</v>
      </c>
      <c r="C91" t="s">
        <v>181</v>
      </c>
      <c r="D91">
        <v>108.6629174301503</v>
      </c>
      <c r="E91">
        <v>22.589082569849708</v>
      </c>
      <c r="F91" s="5" t="s">
        <v>180</v>
      </c>
    </row>
    <row r="92" spans="2:105" ht="15.75" thickBot="1" x14ac:dyDescent="0.3">
      <c r="B92" s="7" t="s">
        <v>118</v>
      </c>
      <c r="C92" s="8" t="s">
        <v>413</v>
      </c>
      <c r="D92" s="8">
        <v>36824.080424018444</v>
      </c>
      <c r="E92" s="8">
        <v>7655.0695759815499</v>
      </c>
      <c r="F92" s="9" t="s">
        <v>180</v>
      </c>
    </row>
    <row r="94" spans="2:105" ht="15.75" thickBot="1" x14ac:dyDescent="0.3"/>
    <row r="95" spans="2:105" x14ac:dyDescent="0.25">
      <c r="C95" s="96" t="s">
        <v>169</v>
      </c>
      <c r="D95" s="97"/>
      <c r="E95" s="98"/>
      <c r="G95" s="96" t="s">
        <v>191</v>
      </c>
      <c r="H95" s="97"/>
      <c r="I95" s="98"/>
      <c r="K95" s="96" t="s">
        <v>224</v>
      </c>
      <c r="L95" s="97"/>
      <c r="M95" s="98"/>
      <c r="O95" s="96" t="s">
        <v>242</v>
      </c>
      <c r="P95" s="97"/>
      <c r="Q95" s="98"/>
      <c r="S95" s="96" t="s">
        <v>243</v>
      </c>
      <c r="T95" s="97"/>
      <c r="U95" s="98"/>
      <c r="W95" s="96" t="s">
        <v>251</v>
      </c>
      <c r="X95" s="97"/>
      <c r="Y95" s="98"/>
      <c r="AA95" s="96" t="s">
        <v>252</v>
      </c>
      <c r="AB95" s="97"/>
      <c r="AC95" s="98"/>
      <c r="AE95" s="96" t="s">
        <v>253</v>
      </c>
      <c r="AF95" s="97"/>
      <c r="AG95" s="98"/>
      <c r="AI95" s="96" t="s">
        <v>254</v>
      </c>
      <c r="AJ95" s="97"/>
      <c r="AK95" s="98"/>
      <c r="AM95" s="96" t="s">
        <v>255</v>
      </c>
      <c r="AN95" s="97"/>
      <c r="AO95" s="98"/>
      <c r="AQ95" s="96" t="s">
        <v>256</v>
      </c>
      <c r="AR95" s="97"/>
      <c r="AS95" s="98"/>
      <c r="AU95" s="96" t="s">
        <v>257</v>
      </c>
      <c r="AV95" s="97"/>
      <c r="AW95" s="98"/>
      <c r="AY95" s="96" t="s">
        <v>258</v>
      </c>
      <c r="AZ95" s="97"/>
      <c r="BA95" s="98"/>
      <c r="BC95" s="96" t="s">
        <v>259</v>
      </c>
      <c r="BD95" s="97"/>
      <c r="BE95" s="98"/>
      <c r="BG95" s="96" t="s">
        <v>260</v>
      </c>
      <c r="BH95" s="97"/>
      <c r="BI95" s="98"/>
      <c r="BK95" s="96" t="s">
        <v>261</v>
      </c>
      <c r="BL95" s="97"/>
      <c r="BM95" s="98"/>
      <c r="BO95" s="96" t="s">
        <v>262</v>
      </c>
      <c r="BP95" s="97"/>
      <c r="BQ95" s="98"/>
      <c r="BS95" s="96" t="s">
        <v>263</v>
      </c>
      <c r="BT95" s="97"/>
      <c r="BU95" s="98"/>
      <c r="BW95" s="96" t="s">
        <v>264</v>
      </c>
      <c r="BX95" s="97"/>
      <c r="BY95" s="98"/>
      <c r="CA95" s="96" t="s">
        <v>265</v>
      </c>
      <c r="CB95" s="97"/>
      <c r="CC95" s="98"/>
      <c r="CE95" s="96" t="s">
        <v>266</v>
      </c>
      <c r="CF95" s="97"/>
      <c r="CG95" s="98"/>
      <c r="CI95" s="96" t="s">
        <v>267</v>
      </c>
      <c r="CJ95" s="97"/>
      <c r="CK95" s="98"/>
    </row>
    <row r="96" spans="2:105" x14ac:dyDescent="0.25">
      <c r="C96" s="76" t="s">
        <v>7</v>
      </c>
      <c r="D96" s="77"/>
      <c r="E96" s="78"/>
      <c r="G96" s="76" t="s">
        <v>7</v>
      </c>
      <c r="H96" s="77"/>
      <c r="I96" s="78"/>
      <c r="K96" s="76" t="s">
        <v>7</v>
      </c>
      <c r="L96" s="77"/>
      <c r="M96" s="78"/>
      <c r="O96" s="76" t="s">
        <v>7</v>
      </c>
      <c r="P96" s="77"/>
      <c r="Q96" s="78"/>
      <c r="S96" s="76" t="s">
        <v>7</v>
      </c>
      <c r="T96" s="77"/>
      <c r="U96" s="78"/>
      <c r="W96" s="76" t="s">
        <v>7</v>
      </c>
      <c r="X96" s="77"/>
      <c r="Y96" s="78"/>
      <c r="AA96" s="76" t="s">
        <v>7</v>
      </c>
      <c r="AB96" s="77"/>
      <c r="AC96" s="78"/>
      <c r="AE96" s="76" t="s">
        <v>7</v>
      </c>
      <c r="AF96" s="77"/>
      <c r="AG96" s="78"/>
      <c r="AI96" s="76" t="s">
        <v>7</v>
      </c>
      <c r="AJ96" s="77"/>
      <c r="AK96" s="78"/>
      <c r="AM96" s="76" t="s">
        <v>7</v>
      </c>
      <c r="AN96" s="77"/>
      <c r="AO96" s="78"/>
      <c r="AQ96" s="76" t="s">
        <v>7</v>
      </c>
      <c r="AR96" s="77"/>
      <c r="AS96" s="78"/>
      <c r="AU96" s="76" t="s">
        <v>7</v>
      </c>
      <c r="AV96" s="77"/>
      <c r="AW96" s="78"/>
      <c r="AY96" s="76" t="s">
        <v>7</v>
      </c>
      <c r="AZ96" s="77"/>
      <c r="BA96" s="78"/>
      <c r="BC96" s="76" t="s">
        <v>7</v>
      </c>
      <c r="BD96" s="77"/>
      <c r="BE96" s="78"/>
      <c r="BG96" s="76" t="s">
        <v>7</v>
      </c>
      <c r="BH96" s="77"/>
      <c r="BI96" s="78"/>
      <c r="BK96" s="76" t="s">
        <v>7</v>
      </c>
      <c r="BL96" s="77"/>
      <c r="BM96" s="78"/>
      <c r="BO96" s="76" t="s">
        <v>7</v>
      </c>
      <c r="BP96" s="77"/>
      <c r="BQ96" s="78"/>
      <c r="BS96" s="76" t="s">
        <v>7</v>
      </c>
      <c r="BT96" s="77"/>
      <c r="BU96" s="78"/>
      <c r="BW96" s="76" t="s">
        <v>7</v>
      </c>
      <c r="BX96" s="77"/>
      <c r="BY96" s="78"/>
      <c r="CA96" s="76" t="s">
        <v>7</v>
      </c>
      <c r="CB96" s="77"/>
      <c r="CC96" s="78"/>
      <c r="CE96" s="76" t="s">
        <v>7</v>
      </c>
      <c r="CF96" s="77"/>
      <c r="CG96" s="78"/>
      <c r="CI96" s="76" t="s">
        <v>7</v>
      </c>
      <c r="CJ96" s="77"/>
      <c r="CK96" s="78"/>
      <c r="CM96" s="18"/>
      <c r="CN96" s="18"/>
      <c r="CO96" s="18"/>
      <c r="CQ96" s="18"/>
      <c r="CR96" s="18"/>
      <c r="CS96" s="18"/>
      <c r="CU96" s="18"/>
      <c r="CV96" s="18"/>
      <c r="CW96" s="18"/>
      <c r="CY96" s="18"/>
      <c r="CZ96" s="18"/>
      <c r="DA96" s="18"/>
    </row>
    <row r="97" spans="3:89" x14ac:dyDescent="0.25">
      <c r="C97" s="6" t="s">
        <v>10</v>
      </c>
      <c r="D97" t="s">
        <v>11</v>
      </c>
      <c r="E97" s="5" t="s">
        <v>12</v>
      </c>
      <c r="G97" s="6" t="s">
        <v>10</v>
      </c>
      <c r="H97" t="s">
        <v>11</v>
      </c>
      <c r="I97" s="5" t="s">
        <v>12</v>
      </c>
      <c r="K97" s="6" t="s">
        <v>10</v>
      </c>
      <c r="L97" t="s">
        <v>11</v>
      </c>
      <c r="M97" s="5" t="s">
        <v>12</v>
      </c>
      <c r="O97" s="6" t="s">
        <v>10</v>
      </c>
      <c r="P97" t="s">
        <v>11</v>
      </c>
      <c r="Q97" s="5" t="s">
        <v>12</v>
      </c>
      <c r="S97" s="6" t="s">
        <v>10</v>
      </c>
      <c r="T97" t="s">
        <v>11</v>
      </c>
      <c r="U97" s="5" t="s">
        <v>12</v>
      </c>
      <c r="W97" s="6" t="s">
        <v>10</v>
      </c>
      <c r="X97" t="s">
        <v>11</v>
      </c>
      <c r="Y97" s="5" t="s">
        <v>12</v>
      </c>
      <c r="AA97" s="6" t="s">
        <v>10</v>
      </c>
      <c r="AB97" t="s">
        <v>11</v>
      </c>
      <c r="AC97" s="5" t="s">
        <v>12</v>
      </c>
      <c r="AE97" s="6" t="s">
        <v>10</v>
      </c>
      <c r="AF97" t="s">
        <v>11</v>
      </c>
      <c r="AG97" s="5" t="s">
        <v>12</v>
      </c>
      <c r="AI97" s="6" t="s">
        <v>10</v>
      </c>
      <c r="AJ97" t="s">
        <v>11</v>
      </c>
      <c r="AK97" s="5" t="s">
        <v>12</v>
      </c>
      <c r="AM97" s="6" t="s">
        <v>10</v>
      </c>
      <c r="AN97" t="s">
        <v>11</v>
      </c>
      <c r="AO97" s="5" t="s">
        <v>12</v>
      </c>
      <c r="AQ97" s="6" t="s">
        <v>10</v>
      </c>
      <c r="AR97" t="s">
        <v>11</v>
      </c>
      <c r="AS97" s="5" t="s">
        <v>12</v>
      </c>
      <c r="AU97" s="6" t="s">
        <v>10</v>
      </c>
      <c r="AV97" t="s">
        <v>11</v>
      </c>
      <c r="AW97" s="5" t="s">
        <v>12</v>
      </c>
      <c r="AY97" s="6" t="s">
        <v>10</v>
      </c>
      <c r="AZ97" t="s">
        <v>11</v>
      </c>
      <c r="BA97" s="5" t="s">
        <v>12</v>
      </c>
      <c r="BC97" s="6" t="s">
        <v>10</v>
      </c>
      <c r="BD97" t="s">
        <v>11</v>
      </c>
      <c r="BE97" s="5" t="s">
        <v>12</v>
      </c>
      <c r="BG97" s="6" t="s">
        <v>10</v>
      </c>
      <c r="BH97" t="s">
        <v>11</v>
      </c>
      <c r="BI97" s="5" t="s">
        <v>12</v>
      </c>
      <c r="BK97" s="6" t="s">
        <v>10</v>
      </c>
      <c r="BL97" t="s">
        <v>11</v>
      </c>
      <c r="BM97" s="5" t="s">
        <v>12</v>
      </c>
      <c r="BO97" s="6" t="s">
        <v>10</v>
      </c>
      <c r="BP97" t="s">
        <v>11</v>
      </c>
      <c r="BQ97" s="5" t="s">
        <v>12</v>
      </c>
      <c r="BS97" s="6" t="s">
        <v>10</v>
      </c>
      <c r="BT97" t="s">
        <v>11</v>
      </c>
      <c r="BU97" s="5" t="s">
        <v>12</v>
      </c>
      <c r="BW97" s="6" t="s">
        <v>10</v>
      </c>
      <c r="BX97" t="s">
        <v>11</v>
      </c>
      <c r="BY97" s="5" t="s">
        <v>12</v>
      </c>
      <c r="CA97" s="6" t="s">
        <v>10</v>
      </c>
      <c r="CB97" t="s">
        <v>11</v>
      </c>
      <c r="CC97" s="5" t="s">
        <v>12</v>
      </c>
      <c r="CE97" s="6" t="s">
        <v>10</v>
      </c>
      <c r="CF97" t="s">
        <v>11</v>
      </c>
      <c r="CG97" s="5" t="s">
        <v>12</v>
      </c>
      <c r="CI97" s="6" t="s">
        <v>10</v>
      </c>
      <c r="CJ97" t="s">
        <v>11</v>
      </c>
      <c r="CK97" s="5" t="s">
        <v>12</v>
      </c>
    </row>
    <row r="98" spans="3:89" x14ac:dyDescent="0.25">
      <c r="C98" s="29" t="s">
        <v>170</v>
      </c>
      <c r="D98" s="30">
        <v>4.0000000000000001E-10</v>
      </c>
      <c r="E98" s="31" t="s">
        <v>171</v>
      </c>
      <c r="G98" s="6" t="s">
        <v>192</v>
      </c>
      <c r="H98">
        <v>0.91</v>
      </c>
      <c r="I98" s="5" t="s">
        <v>23</v>
      </c>
      <c r="K98" s="6" t="s">
        <v>209</v>
      </c>
      <c r="L98">
        <v>2</v>
      </c>
      <c r="M98" s="5" t="s">
        <v>23</v>
      </c>
      <c r="O98" s="6" t="s">
        <v>225</v>
      </c>
      <c r="P98">
        <v>0.86</v>
      </c>
      <c r="Q98" s="5" t="s">
        <v>23</v>
      </c>
      <c r="S98" s="6" t="s">
        <v>244</v>
      </c>
      <c r="T98">
        <v>1</v>
      </c>
      <c r="U98" s="5" t="s">
        <v>23</v>
      </c>
      <c r="W98" s="6" t="s">
        <v>248</v>
      </c>
      <c r="X98">
        <v>1</v>
      </c>
      <c r="Y98" s="5" t="s">
        <v>23</v>
      </c>
      <c r="AA98" s="6" t="s">
        <v>248</v>
      </c>
      <c r="AB98">
        <v>1</v>
      </c>
      <c r="AC98" s="5" t="s">
        <v>23</v>
      </c>
      <c r="AE98" s="6" t="s">
        <v>270</v>
      </c>
      <c r="AF98">
        <v>1</v>
      </c>
      <c r="AG98" s="5" t="s">
        <v>23</v>
      </c>
      <c r="AI98" s="6" t="s">
        <v>275</v>
      </c>
      <c r="AJ98">
        <v>1</v>
      </c>
      <c r="AK98" s="5" t="s">
        <v>23</v>
      </c>
      <c r="AM98" s="6" t="s">
        <v>278</v>
      </c>
      <c r="AN98">
        <v>1.08</v>
      </c>
      <c r="AO98" s="5" t="s">
        <v>23</v>
      </c>
      <c r="AQ98" s="6" t="s">
        <v>301</v>
      </c>
      <c r="AR98">
        <v>1.53</v>
      </c>
      <c r="AS98" s="5" t="s">
        <v>23</v>
      </c>
      <c r="AU98" s="6" t="s">
        <v>353</v>
      </c>
      <c r="AV98">
        <v>3.0000000000000001E-3</v>
      </c>
      <c r="AW98" s="5" t="s">
        <v>23</v>
      </c>
      <c r="AY98" s="6" t="s">
        <v>361</v>
      </c>
      <c r="AZ98">
        <v>1.32</v>
      </c>
      <c r="BA98" s="5" t="s">
        <v>23</v>
      </c>
      <c r="BC98" s="6" t="s">
        <v>392</v>
      </c>
      <c r="BD98">
        <v>1.35</v>
      </c>
      <c r="BE98" s="5" t="s">
        <v>23</v>
      </c>
      <c r="BG98" s="6" t="s">
        <v>397</v>
      </c>
      <c r="BH98">
        <v>0.50829000000000002</v>
      </c>
      <c r="BI98" s="5" t="s">
        <v>23</v>
      </c>
      <c r="BK98" s="6" t="s">
        <v>397</v>
      </c>
      <c r="BL98">
        <v>0.57813000000000003</v>
      </c>
      <c r="BM98" s="5" t="s">
        <v>23</v>
      </c>
      <c r="BO98" s="6" t="s">
        <v>402</v>
      </c>
      <c r="BP98">
        <v>0.13500000000000001</v>
      </c>
      <c r="BQ98" s="5" t="s">
        <v>23</v>
      </c>
      <c r="BS98" s="6" t="s">
        <v>244</v>
      </c>
      <c r="BT98">
        <v>0.89149999999999996</v>
      </c>
      <c r="BU98" s="5" t="s">
        <v>23</v>
      </c>
      <c r="BW98" s="6" t="s">
        <v>248</v>
      </c>
      <c r="BX98">
        <v>1</v>
      </c>
      <c r="BY98" s="5" t="s">
        <v>23</v>
      </c>
      <c r="CA98" s="6" t="s">
        <v>415</v>
      </c>
      <c r="CB98">
        <v>0.34816999999999998</v>
      </c>
      <c r="CC98" s="5" t="s">
        <v>23</v>
      </c>
      <c r="CE98" s="6" t="s">
        <v>248</v>
      </c>
      <c r="CF98">
        <v>1</v>
      </c>
      <c r="CG98" s="5" t="s">
        <v>23</v>
      </c>
      <c r="CI98" s="6" t="s">
        <v>423</v>
      </c>
      <c r="CJ98">
        <v>1</v>
      </c>
      <c r="CK98" s="5" t="s">
        <v>23</v>
      </c>
    </row>
    <row r="99" spans="3:89" x14ac:dyDescent="0.25">
      <c r="C99" s="29" t="s">
        <v>172</v>
      </c>
      <c r="D99" s="32">
        <v>39.31</v>
      </c>
      <c r="E99" s="31" t="s">
        <v>27</v>
      </c>
      <c r="G99" s="6" t="s">
        <v>170</v>
      </c>
      <c r="H99">
        <v>7.8999999999999996E-10</v>
      </c>
      <c r="I99" s="5" t="s">
        <v>171</v>
      </c>
      <c r="K99" s="6" t="s">
        <v>172</v>
      </c>
      <c r="L99">
        <v>5.25</v>
      </c>
      <c r="M99" s="5" t="s">
        <v>27</v>
      </c>
      <c r="O99" s="6" t="s">
        <v>226</v>
      </c>
      <c r="P99">
        <v>1.4959999999999999E-2</v>
      </c>
      <c r="Q99" s="5" t="s">
        <v>23</v>
      </c>
      <c r="S99" s="6" t="s">
        <v>245</v>
      </c>
      <c r="T99">
        <v>4.0000000000000001E-10</v>
      </c>
      <c r="U99" s="5" t="s">
        <v>171</v>
      </c>
      <c r="W99" s="6" t="s">
        <v>249</v>
      </c>
      <c r="X99">
        <v>1</v>
      </c>
      <c r="Y99" s="5" t="s">
        <v>23</v>
      </c>
      <c r="AA99" s="6" t="s">
        <v>173</v>
      </c>
      <c r="AB99">
        <v>0.33329999999999999</v>
      </c>
      <c r="AC99" s="5" t="s">
        <v>23</v>
      </c>
      <c r="AE99" s="6" t="s">
        <v>271</v>
      </c>
      <c r="AF99">
        <v>1</v>
      </c>
      <c r="AG99" s="5" t="s">
        <v>23</v>
      </c>
      <c r="AI99" s="6" t="s">
        <v>276</v>
      </c>
      <c r="AJ99">
        <v>1</v>
      </c>
      <c r="AK99" s="5" t="s">
        <v>23</v>
      </c>
      <c r="AM99" s="6" t="s">
        <v>279</v>
      </c>
      <c r="AN99">
        <v>2.49E-3</v>
      </c>
      <c r="AO99" s="5" t="s">
        <v>300</v>
      </c>
      <c r="AQ99" s="6" t="s">
        <v>302</v>
      </c>
      <c r="AR99">
        <v>9.0000000000000006E-5</v>
      </c>
      <c r="AS99" s="5" t="s">
        <v>69</v>
      </c>
      <c r="AU99" s="6" t="s">
        <v>354</v>
      </c>
      <c r="AV99">
        <v>3.9999999999999998E-11</v>
      </c>
      <c r="AW99" s="5" t="s">
        <v>171</v>
      </c>
      <c r="AY99" s="6" t="s">
        <v>360</v>
      </c>
      <c r="AZ99">
        <v>5.2199999999999998E-3</v>
      </c>
      <c r="BA99" s="5" t="s">
        <v>69</v>
      </c>
      <c r="BC99" s="6" t="s">
        <v>393</v>
      </c>
      <c r="BD99">
        <v>0.31</v>
      </c>
      <c r="BE99" s="5" t="s">
        <v>23</v>
      </c>
      <c r="BG99" s="6" t="s">
        <v>288</v>
      </c>
      <c r="BH99">
        <v>0.30146000000000001</v>
      </c>
      <c r="BI99" s="5" t="s">
        <v>195</v>
      </c>
      <c r="BK99" s="6" t="s">
        <v>288</v>
      </c>
      <c r="BL99">
        <v>0.33</v>
      </c>
      <c r="BM99" s="5" t="s">
        <v>195</v>
      </c>
      <c r="BO99" s="6" t="s">
        <v>405</v>
      </c>
      <c r="BP99">
        <v>0.13500000000000001</v>
      </c>
      <c r="BQ99" s="5" t="s">
        <v>23</v>
      </c>
      <c r="BS99" s="6" t="s">
        <v>248</v>
      </c>
      <c r="BT99">
        <v>0.109</v>
      </c>
      <c r="BU99" s="5" t="s">
        <v>23</v>
      </c>
      <c r="BW99" s="6" t="s">
        <v>249</v>
      </c>
      <c r="BX99">
        <v>0.33900000000000002</v>
      </c>
      <c r="BY99" s="5" t="s">
        <v>23</v>
      </c>
      <c r="CA99" s="6" t="s">
        <v>416</v>
      </c>
      <c r="CB99">
        <v>0.61978</v>
      </c>
      <c r="CC99" s="5" t="s">
        <v>23</v>
      </c>
      <c r="CE99" s="6" t="s">
        <v>421</v>
      </c>
      <c r="CF99">
        <v>1</v>
      </c>
      <c r="CG99" s="5" t="s">
        <v>23</v>
      </c>
      <c r="CI99" s="6" t="s">
        <v>271</v>
      </c>
      <c r="CJ99">
        <v>1</v>
      </c>
      <c r="CK99" s="5" t="s">
        <v>23</v>
      </c>
    </row>
    <row r="100" spans="3:89" x14ac:dyDescent="0.25">
      <c r="C100" s="29" t="s">
        <v>173</v>
      </c>
      <c r="D100" s="32">
        <v>3.2</v>
      </c>
      <c r="E100" s="31" t="s">
        <v>23</v>
      </c>
      <c r="G100" s="6" t="s">
        <v>193</v>
      </c>
      <c r="H100">
        <v>1.46E-2</v>
      </c>
      <c r="I100" s="5" t="s">
        <v>23</v>
      </c>
      <c r="K100" s="6" t="s">
        <v>172</v>
      </c>
      <c r="L100">
        <v>0.87</v>
      </c>
      <c r="M100" s="5" t="s">
        <v>27</v>
      </c>
      <c r="O100" s="6" t="s">
        <v>77</v>
      </c>
      <c r="P100">
        <v>1.32</v>
      </c>
      <c r="Q100" s="5" t="s">
        <v>195</v>
      </c>
      <c r="S100" s="6" t="s">
        <v>246</v>
      </c>
      <c r="T100">
        <v>1</v>
      </c>
      <c r="U100" s="5" t="s">
        <v>23</v>
      </c>
      <c r="W100" s="6" t="s">
        <v>179</v>
      </c>
      <c r="X100">
        <v>0.2</v>
      </c>
      <c r="Y100" s="5" t="s">
        <v>180</v>
      </c>
      <c r="AA100" s="6" t="s">
        <v>268</v>
      </c>
      <c r="AB100">
        <v>0.33329999999999999</v>
      </c>
      <c r="AC100" s="5" t="s">
        <v>23</v>
      </c>
      <c r="AE100" s="6" t="s">
        <v>179</v>
      </c>
      <c r="AF100">
        <v>0.2</v>
      </c>
      <c r="AG100" s="5" t="s">
        <v>180</v>
      </c>
      <c r="AI100" s="6" t="s">
        <v>179</v>
      </c>
      <c r="AJ100">
        <v>0.2</v>
      </c>
      <c r="AK100" s="5" t="s">
        <v>180</v>
      </c>
      <c r="AM100" s="6" t="s">
        <v>280</v>
      </c>
      <c r="AN100">
        <v>0.25</v>
      </c>
      <c r="AO100" s="5" t="s">
        <v>23</v>
      </c>
      <c r="AQ100" s="6" t="s">
        <v>303</v>
      </c>
      <c r="AR100">
        <v>2.5000000000000001E-11</v>
      </c>
      <c r="AS100" s="5" t="s">
        <v>171</v>
      </c>
      <c r="AU100" s="6" t="s">
        <v>194</v>
      </c>
      <c r="AV100">
        <v>0.42</v>
      </c>
      <c r="AW100" s="5" t="s">
        <v>195</v>
      </c>
      <c r="AY100" s="6" t="s">
        <v>368</v>
      </c>
      <c r="AZ100">
        <v>1.5E-5</v>
      </c>
      <c r="BA100" s="5" t="s">
        <v>23</v>
      </c>
      <c r="BC100" s="6" t="s">
        <v>288</v>
      </c>
      <c r="BD100">
        <v>0.2</v>
      </c>
      <c r="BE100" s="5" t="s">
        <v>27</v>
      </c>
      <c r="BG100" s="6" t="s">
        <v>172</v>
      </c>
      <c r="BH100">
        <v>1.8105899999999999</v>
      </c>
      <c r="BI100" s="5" t="s">
        <v>27</v>
      </c>
      <c r="BK100" s="6" t="s">
        <v>403</v>
      </c>
      <c r="BL100">
        <v>0.69535999999999998</v>
      </c>
      <c r="BM100" s="5" t="s">
        <v>23</v>
      </c>
      <c r="BO100" s="6" t="s">
        <v>403</v>
      </c>
      <c r="BP100">
        <v>0.13500000000000001</v>
      </c>
      <c r="BQ100" s="5" t="s">
        <v>23</v>
      </c>
      <c r="BS100" s="6" t="s">
        <v>249</v>
      </c>
      <c r="BT100">
        <v>0.109</v>
      </c>
      <c r="BU100" s="5" t="s">
        <v>23</v>
      </c>
      <c r="BW100" s="6" t="s">
        <v>268</v>
      </c>
      <c r="BX100">
        <v>0.66108999999999996</v>
      </c>
      <c r="BY100" s="5" t="s">
        <v>23</v>
      </c>
      <c r="CA100" s="6" t="s">
        <v>417</v>
      </c>
      <c r="CB100">
        <v>3.2050000000000002E-2</v>
      </c>
      <c r="CC100" s="5" t="s">
        <v>23</v>
      </c>
      <c r="CE100" s="6" t="s">
        <v>179</v>
      </c>
      <c r="CF100">
        <v>0.2</v>
      </c>
      <c r="CG100" s="5" t="s">
        <v>180</v>
      </c>
      <c r="CI100" s="6" t="s">
        <v>179</v>
      </c>
      <c r="CJ100">
        <v>0.2</v>
      </c>
      <c r="CK100" s="5" t="s">
        <v>180</v>
      </c>
    </row>
    <row r="101" spans="3:89" x14ac:dyDescent="0.25">
      <c r="C101" s="29" t="s">
        <v>174</v>
      </c>
      <c r="D101" s="32">
        <v>0.11</v>
      </c>
      <c r="E101" s="31" t="s">
        <v>23</v>
      </c>
      <c r="G101" s="6" t="s">
        <v>194</v>
      </c>
      <c r="H101">
        <v>2.4</v>
      </c>
      <c r="I101" s="5" t="s">
        <v>195</v>
      </c>
      <c r="K101" s="6" t="s">
        <v>221</v>
      </c>
      <c r="L101">
        <v>7.9600000000000004E-2</v>
      </c>
      <c r="M101" s="5" t="s">
        <v>27</v>
      </c>
      <c r="O101" s="6" t="s">
        <v>227</v>
      </c>
      <c r="P101">
        <v>2.8800000000000002E-3</v>
      </c>
      <c r="Q101" s="5" t="s">
        <v>88</v>
      </c>
      <c r="S101" s="6" t="s">
        <v>179</v>
      </c>
      <c r="T101">
        <v>0.2</v>
      </c>
      <c r="U101" s="5" t="s">
        <v>180</v>
      </c>
      <c r="W101" s="6" t="s">
        <v>181</v>
      </c>
      <c r="X101">
        <v>0.1</v>
      </c>
      <c r="Y101" s="5" t="s">
        <v>180</v>
      </c>
      <c r="AA101" s="6" t="s">
        <v>178</v>
      </c>
      <c r="AB101">
        <v>0.33329999999999999</v>
      </c>
      <c r="AC101" s="5" t="s">
        <v>23</v>
      </c>
      <c r="AE101" s="6" t="s">
        <v>181</v>
      </c>
      <c r="AF101">
        <v>0.1</v>
      </c>
      <c r="AG101" s="5" t="s">
        <v>180</v>
      </c>
      <c r="AI101" s="6" t="s">
        <v>181</v>
      </c>
      <c r="AJ101">
        <v>0.1</v>
      </c>
      <c r="AK101" s="5" t="s">
        <v>180</v>
      </c>
      <c r="AM101" s="6" t="s">
        <v>281</v>
      </c>
      <c r="AN101">
        <v>8.2999999999999998E-5</v>
      </c>
      <c r="AO101" s="5" t="s">
        <v>28</v>
      </c>
      <c r="AQ101" s="6" t="s">
        <v>304</v>
      </c>
      <c r="AR101">
        <v>5.9685300000000001E-6</v>
      </c>
      <c r="AS101" s="5" t="s">
        <v>23</v>
      </c>
      <c r="AU101" s="6" t="s">
        <v>307</v>
      </c>
      <c r="AV101">
        <v>1.4E-2</v>
      </c>
      <c r="AW101" s="5" t="s">
        <v>23</v>
      </c>
      <c r="AY101" s="6" t="s">
        <v>353</v>
      </c>
      <c r="AZ101">
        <v>3.0000000000000001E-3</v>
      </c>
      <c r="BA101" s="5" t="s">
        <v>23</v>
      </c>
      <c r="BC101" s="6" t="s">
        <v>172</v>
      </c>
      <c r="BD101">
        <v>0.93</v>
      </c>
      <c r="BE101" s="5" t="s">
        <v>27</v>
      </c>
      <c r="BG101" s="6" t="s">
        <v>401</v>
      </c>
      <c r="BH101">
        <v>8.8400000000000006E-2</v>
      </c>
      <c r="BI101" s="5" t="s">
        <v>23</v>
      </c>
      <c r="BK101" s="6" t="s">
        <v>404</v>
      </c>
      <c r="BL101">
        <v>6.4099999999999999E-3</v>
      </c>
      <c r="BM101" s="5" t="s">
        <v>23</v>
      </c>
      <c r="BO101" s="6" t="s">
        <v>395</v>
      </c>
      <c r="BP101">
        <v>6.7500000000000004E-2</v>
      </c>
      <c r="BQ101" s="5" t="s">
        <v>23</v>
      </c>
      <c r="BS101" s="6" t="s">
        <v>407</v>
      </c>
      <c r="BT101">
        <v>1.8E-12</v>
      </c>
      <c r="BU101" s="5" t="s">
        <v>171</v>
      </c>
      <c r="BW101" s="6" t="s">
        <v>181</v>
      </c>
      <c r="BX101">
        <v>5.203E-2</v>
      </c>
      <c r="BY101" s="5" t="s">
        <v>180</v>
      </c>
      <c r="CA101" s="6" t="s">
        <v>418</v>
      </c>
      <c r="CB101">
        <v>0.34816999999999998</v>
      </c>
      <c r="CC101" s="5" t="s">
        <v>23</v>
      </c>
      <c r="CE101" s="6" t="s">
        <v>181</v>
      </c>
      <c r="CF101">
        <v>0.1</v>
      </c>
      <c r="CG101" s="5" t="s">
        <v>180</v>
      </c>
      <c r="CI101" s="6" t="s">
        <v>181</v>
      </c>
      <c r="CJ101">
        <v>0.1</v>
      </c>
      <c r="CK101" s="5" t="s">
        <v>180</v>
      </c>
    </row>
    <row r="102" spans="3:89" x14ac:dyDescent="0.25">
      <c r="C102" s="29" t="s">
        <v>175</v>
      </c>
      <c r="D102" s="32">
        <v>0.6</v>
      </c>
      <c r="E102" s="31" t="s">
        <v>23</v>
      </c>
      <c r="G102" s="6" t="s">
        <v>196</v>
      </c>
      <c r="H102">
        <v>2.8800000000000002E-3</v>
      </c>
      <c r="I102" s="5" t="s">
        <v>171</v>
      </c>
      <c r="K102" s="76" t="s">
        <v>182</v>
      </c>
      <c r="L102" s="77"/>
      <c r="M102" s="78"/>
      <c r="O102" s="6" t="s">
        <v>228</v>
      </c>
      <c r="P102">
        <v>0.42</v>
      </c>
      <c r="Q102" s="5" t="s">
        <v>27</v>
      </c>
      <c r="S102" s="6" t="s">
        <v>181</v>
      </c>
      <c r="T102">
        <v>0.1</v>
      </c>
      <c r="U102" s="5" t="s">
        <v>180</v>
      </c>
      <c r="W102" s="76" t="s">
        <v>182</v>
      </c>
      <c r="X102" s="77"/>
      <c r="Y102" s="78"/>
      <c r="AA102" s="6" t="s">
        <v>179</v>
      </c>
      <c r="AB102">
        <v>0.2</v>
      </c>
      <c r="AC102" s="5" t="s">
        <v>180</v>
      </c>
      <c r="AE102" s="6" t="s">
        <v>272</v>
      </c>
      <c r="AF102">
        <v>3.2599999999999997E-2</v>
      </c>
      <c r="AG102" s="5" t="s">
        <v>273</v>
      </c>
      <c r="AI102" s="76" t="s">
        <v>182</v>
      </c>
      <c r="AJ102" s="77"/>
      <c r="AK102" s="78"/>
      <c r="AM102" s="6" t="s">
        <v>282</v>
      </c>
      <c r="AN102">
        <v>8.2999999999999998E-5</v>
      </c>
      <c r="AO102" s="5" t="s">
        <v>28</v>
      </c>
      <c r="AQ102" s="6" t="s">
        <v>305</v>
      </c>
      <c r="AR102">
        <v>1.3699999999999999E-3</v>
      </c>
      <c r="AS102" s="5" t="s">
        <v>23</v>
      </c>
      <c r="AU102" s="6" t="s">
        <v>355</v>
      </c>
      <c r="AV102">
        <v>2.5000000000000001E-2</v>
      </c>
      <c r="AW102" s="5" t="s">
        <v>69</v>
      </c>
      <c r="AY102" s="6" t="s">
        <v>369</v>
      </c>
      <c r="AZ102">
        <v>3.29E-3</v>
      </c>
      <c r="BA102" s="5" t="s">
        <v>23</v>
      </c>
      <c r="BC102" s="6" t="s">
        <v>174</v>
      </c>
      <c r="BD102">
        <v>0.37</v>
      </c>
      <c r="BE102" s="5" t="s">
        <v>23</v>
      </c>
      <c r="BG102" s="6" t="s">
        <v>395</v>
      </c>
      <c r="BH102">
        <v>0.85634999999999994</v>
      </c>
      <c r="BI102" s="5" t="s">
        <v>23</v>
      </c>
      <c r="BK102" s="76" t="s">
        <v>182</v>
      </c>
      <c r="BL102" s="77"/>
      <c r="BM102" s="78"/>
      <c r="BO102" s="6" t="s">
        <v>179</v>
      </c>
      <c r="BP102">
        <v>0.2</v>
      </c>
      <c r="BQ102" s="5" t="s">
        <v>180</v>
      </c>
      <c r="BS102" s="6" t="s">
        <v>408</v>
      </c>
      <c r="BT102">
        <v>1.452</v>
      </c>
      <c r="BU102" s="5" t="s">
        <v>23</v>
      </c>
      <c r="BW102" s="6" t="s">
        <v>181</v>
      </c>
      <c r="BX102">
        <v>1.821E-2</v>
      </c>
      <c r="BY102" s="5" t="s">
        <v>180</v>
      </c>
      <c r="CA102" s="6" t="s">
        <v>181</v>
      </c>
      <c r="CB102">
        <v>1.821E-2</v>
      </c>
      <c r="CC102" s="5" t="s">
        <v>180</v>
      </c>
      <c r="CE102" s="76" t="s">
        <v>182</v>
      </c>
      <c r="CF102" s="77"/>
      <c r="CG102" s="78"/>
      <c r="CI102" s="76" t="s">
        <v>182</v>
      </c>
      <c r="CJ102" s="77"/>
      <c r="CK102" s="78"/>
    </row>
    <row r="103" spans="3:89" ht="15.75" thickBot="1" x14ac:dyDescent="0.3">
      <c r="C103" s="29" t="s">
        <v>176</v>
      </c>
      <c r="D103" s="32">
        <v>3</v>
      </c>
      <c r="E103" s="31" t="s">
        <v>23</v>
      </c>
      <c r="G103" s="6" t="s">
        <v>172</v>
      </c>
      <c r="H103">
        <v>4.17</v>
      </c>
      <c r="I103" s="5" t="s">
        <v>27</v>
      </c>
      <c r="K103" s="26" t="s">
        <v>222</v>
      </c>
      <c r="L103" s="27">
        <v>1</v>
      </c>
      <c r="M103" s="28" t="s">
        <v>23</v>
      </c>
      <c r="O103" s="6" t="s">
        <v>229</v>
      </c>
      <c r="P103">
        <v>1.2</v>
      </c>
      <c r="Q103" s="5" t="s">
        <v>27</v>
      </c>
      <c r="S103" s="76" t="s">
        <v>182</v>
      </c>
      <c r="T103" s="77"/>
      <c r="U103" s="78"/>
      <c r="W103" s="23" t="s">
        <v>250</v>
      </c>
      <c r="X103" s="24">
        <v>1</v>
      </c>
      <c r="Y103" s="25" t="s">
        <v>23</v>
      </c>
      <c r="AA103" s="6" t="s">
        <v>181</v>
      </c>
      <c r="AB103">
        <v>0.1</v>
      </c>
      <c r="AC103" s="5" t="s">
        <v>180</v>
      </c>
      <c r="AE103" s="76" t="s">
        <v>182</v>
      </c>
      <c r="AF103" s="77"/>
      <c r="AG103" s="78"/>
      <c r="AI103" s="23" t="s">
        <v>277</v>
      </c>
      <c r="AJ103" s="24">
        <v>1</v>
      </c>
      <c r="AK103" s="25" t="s">
        <v>23</v>
      </c>
      <c r="AM103" s="6" t="s">
        <v>283</v>
      </c>
      <c r="AN103">
        <v>3.4000000000000002E-2</v>
      </c>
      <c r="AO103" s="5" t="s">
        <v>23</v>
      </c>
      <c r="AQ103" s="6" t="s">
        <v>306</v>
      </c>
      <c r="AR103">
        <v>2.2899999999999999E-3</v>
      </c>
      <c r="AS103" s="5" t="s">
        <v>195</v>
      </c>
      <c r="AU103" s="6" t="s">
        <v>356</v>
      </c>
      <c r="AV103">
        <v>5.0729999999999997E-2</v>
      </c>
      <c r="AW103" s="5" t="s">
        <v>23</v>
      </c>
      <c r="AY103" s="6" t="s">
        <v>370</v>
      </c>
      <c r="AZ103">
        <v>5.1999999999999997E-5</v>
      </c>
      <c r="BA103" s="5" t="s">
        <v>23</v>
      </c>
      <c r="BC103" s="6" t="s">
        <v>394</v>
      </c>
      <c r="BD103">
        <v>0.5</v>
      </c>
      <c r="BE103" s="5" t="s">
        <v>23</v>
      </c>
      <c r="BG103" s="76" t="s">
        <v>182</v>
      </c>
      <c r="BH103" s="77"/>
      <c r="BI103" s="78"/>
      <c r="BK103" s="26" t="s">
        <v>405</v>
      </c>
      <c r="BL103" s="27">
        <v>1</v>
      </c>
      <c r="BM103" s="28" t="s">
        <v>23</v>
      </c>
      <c r="BO103" s="6" t="s">
        <v>181</v>
      </c>
      <c r="BP103">
        <v>0.1</v>
      </c>
      <c r="BQ103" s="5" t="s">
        <v>180</v>
      </c>
      <c r="BS103" s="6" t="s">
        <v>179</v>
      </c>
      <c r="BT103">
        <v>0.19</v>
      </c>
      <c r="BU103" s="5" t="s">
        <v>180</v>
      </c>
      <c r="BW103" s="6" t="s">
        <v>413</v>
      </c>
      <c r="BX103">
        <v>20.8415</v>
      </c>
      <c r="BY103" s="5" t="s">
        <v>180</v>
      </c>
      <c r="CA103" s="6" t="s">
        <v>419</v>
      </c>
      <c r="CB103">
        <v>0.39001999999999998</v>
      </c>
      <c r="CC103" s="5" t="s">
        <v>180</v>
      </c>
      <c r="CE103" s="23" t="s">
        <v>422</v>
      </c>
      <c r="CF103" s="24">
        <v>1</v>
      </c>
      <c r="CG103" s="25" t="s">
        <v>23</v>
      </c>
      <c r="CI103" s="23" t="s">
        <v>424</v>
      </c>
      <c r="CJ103" s="24">
        <v>1</v>
      </c>
      <c r="CK103" s="25" t="s">
        <v>23</v>
      </c>
    </row>
    <row r="104" spans="3:89" ht="15.75" thickBot="1" x14ac:dyDescent="0.3">
      <c r="C104" s="29" t="s">
        <v>177</v>
      </c>
      <c r="D104" s="32">
        <v>1</v>
      </c>
      <c r="E104" s="31" t="s">
        <v>23</v>
      </c>
      <c r="G104" s="6" t="s">
        <v>197</v>
      </c>
      <c r="H104">
        <v>2.08</v>
      </c>
      <c r="I104" s="5" t="s">
        <v>27</v>
      </c>
      <c r="K104" s="6" t="s">
        <v>185</v>
      </c>
      <c r="L104">
        <v>1.31</v>
      </c>
      <c r="M104" s="5" t="s">
        <v>23</v>
      </c>
      <c r="O104" s="6" t="s">
        <v>230</v>
      </c>
      <c r="P104">
        <v>2.2000000000000001E-4</v>
      </c>
      <c r="Q104" s="5" t="s">
        <v>23</v>
      </c>
      <c r="S104" s="23" t="s">
        <v>247</v>
      </c>
      <c r="T104" s="24">
        <v>1</v>
      </c>
      <c r="U104" s="25" t="s">
        <v>23</v>
      </c>
      <c r="AA104" s="76" t="s">
        <v>182</v>
      </c>
      <c r="AB104" s="77"/>
      <c r="AC104" s="78"/>
      <c r="AE104" s="23" t="s">
        <v>274</v>
      </c>
      <c r="AF104" s="24">
        <v>1</v>
      </c>
      <c r="AG104" s="25" t="s">
        <v>23</v>
      </c>
      <c r="AM104" s="6" t="s">
        <v>284</v>
      </c>
      <c r="AN104">
        <v>5.8999999999999998E-5</v>
      </c>
      <c r="AO104" s="5" t="s">
        <v>69</v>
      </c>
      <c r="AQ104" s="6" t="s">
        <v>194</v>
      </c>
      <c r="AR104">
        <v>2.5000000000000001E-2</v>
      </c>
      <c r="AS104" s="5" t="s">
        <v>195</v>
      </c>
      <c r="AU104" s="6" t="s">
        <v>357</v>
      </c>
      <c r="AV104">
        <v>1.46</v>
      </c>
      <c r="AW104" s="5" t="s">
        <v>23</v>
      </c>
      <c r="AY104" s="6" t="s">
        <v>371</v>
      </c>
      <c r="AZ104">
        <v>3.46E-3</v>
      </c>
      <c r="BA104" s="5" t="s">
        <v>27</v>
      </c>
      <c r="BC104" s="6" t="s">
        <v>395</v>
      </c>
      <c r="BD104">
        <v>0.46</v>
      </c>
      <c r="BE104" s="5" t="s">
        <v>23</v>
      </c>
      <c r="BG104" s="23" t="s">
        <v>402</v>
      </c>
      <c r="BH104" s="24">
        <v>1</v>
      </c>
      <c r="BI104" s="25" t="s">
        <v>23</v>
      </c>
      <c r="BK104" s="7" t="s">
        <v>212</v>
      </c>
      <c r="BL104" s="8">
        <v>0.28632000000000002</v>
      </c>
      <c r="BM104" s="9" t="s">
        <v>23</v>
      </c>
      <c r="BO104" s="6" t="s">
        <v>207</v>
      </c>
      <c r="BP104">
        <v>0.87749999999999995</v>
      </c>
      <c r="BQ104" s="5" t="s">
        <v>23</v>
      </c>
      <c r="BS104" s="6" t="s">
        <v>181</v>
      </c>
      <c r="BT104">
        <v>9.3700000000000006E-2</v>
      </c>
      <c r="BU104" s="5" t="s">
        <v>180</v>
      </c>
      <c r="BW104" s="76" t="s">
        <v>182</v>
      </c>
      <c r="BX104" s="77"/>
      <c r="BY104" s="78"/>
      <c r="CA104" s="6" t="s">
        <v>413</v>
      </c>
      <c r="CB104">
        <v>23.942499999999999</v>
      </c>
      <c r="CC104" s="5" t="s">
        <v>180</v>
      </c>
    </row>
    <row r="105" spans="3:89" ht="15.75" thickBot="1" x14ac:dyDescent="0.3">
      <c r="C105" s="29" t="s">
        <v>178</v>
      </c>
      <c r="D105" s="32">
        <v>1.3</v>
      </c>
      <c r="E105" s="31" t="s">
        <v>23</v>
      </c>
      <c r="G105" s="6" t="s">
        <v>198</v>
      </c>
      <c r="H105">
        <v>4</v>
      </c>
      <c r="I105" s="5" t="s">
        <v>27</v>
      </c>
      <c r="K105" s="6" t="s">
        <v>223</v>
      </c>
      <c r="L105">
        <v>0.67</v>
      </c>
      <c r="M105" s="5" t="s">
        <v>23</v>
      </c>
      <c r="O105" s="6" t="s">
        <v>231</v>
      </c>
      <c r="P105" s="13">
        <v>2.7999999999999998E-9</v>
      </c>
      <c r="Q105" s="5" t="s">
        <v>88</v>
      </c>
      <c r="AA105" s="23" t="s">
        <v>269</v>
      </c>
      <c r="AB105" s="24">
        <v>1</v>
      </c>
      <c r="AC105" s="25" t="s">
        <v>23</v>
      </c>
      <c r="AM105" s="6" t="s">
        <v>285</v>
      </c>
      <c r="AN105">
        <v>1.4999999999999999E-4</v>
      </c>
      <c r="AO105" s="5" t="s">
        <v>23</v>
      </c>
      <c r="AQ105" s="6" t="s">
        <v>307</v>
      </c>
      <c r="AR105">
        <v>1.2999999999999999E-2</v>
      </c>
      <c r="AS105" s="5" t="s">
        <v>23</v>
      </c>
      <c r="AU105" s="6" t="s">
        <v>358</v>
      </c>
      <c r="AV105">
        <v>5.5E-2</v>
      </c>
      <c r="AW105" s="5" t="s">
        <v>23</v>
      </c>
      <c r="AY105" s="6" t="s">
        <v>354</v>
      </c>
      <c r="AZ105">
        <v>3.9999999999999998E-11</v>
      </c>
      <c r="BA105" s="5" t="s">
        <v>171</v>
      </c>
      <c r="BC105" s="6" t="s">
        <v>179</v>
      </c>
      <c r="BD105">
        <v>0.46</v>
      </c>
      <c r="BE105" s="5" t="s">
        <v>180</v>
      </c>
      <c r="BO105" s="76" t="s">
        <v>182</v>
      </c>
      <c r="BP105" s="77"/>
      <c r="BQ105" s="78"/>
      <c r="BS105" s="6" t="s">
        <v>409</v>
      </c>
      <c r="BT105">
        <v>0.89149999999999996</v>
      </c>
      <c r="BU105" s="5" t="s">
        <v>23</v>
      </c>
      <c r="BW105" s="23" t="s">
        <v>414</v>
      </c>
      <c r="BX105" s="24">
        <v>1</v>
      </c>
      <c r="BY105" s="25" t="s">
        <v>23</v>
      </c>
      <c r="CA105" s="76" t="s">
        <v>182</v>
      </c>
      <c r="CB105" s="77"/>
      <c r="CC105" s="78"/>
    </row>
    <row r="106" spans="3:89" ht="15.75" thickBot="1" x14ac:dyDescent="0.3">
      <c r="C106" s="29" t="s">
        <v>179</v>
      </c>
      <c r="D106" s="32">
        <v>5.22</v>
      </c>
      <c r="E106" s="31" t="s">
        <v>180</v>
      </c>
      <c r="G106" s="6" t="s">
        <v>199</v>
      </c>
      <c r="H106">
        <v>2.2000000000000001E-4</v>
      </c>
      <c r="I106" s="5" t="s">
        <v>23</v>
      </c>
      <c r="K106" s="7" t="s">
        <v>212</v>
      </c>
      <c r="L106" s="8">
        <v>0.66</v>
      </c>
      <c r="M106" s="9" t="s">
        <v>23</v>
      </c>
      <c r="O106" s="6" t="s">
        <v>232</v>
      </c>
      <c r="P106" s="13">
        <v>4.3000000000000002E-5</v>
      </c>
      <c r="Q106" s="5" t="s">
        <v>69</v>
      </c>
      <c r="AM106" s="6" t="s">
        <v>286</v>
      </c>
      <c r="AN106">
        <v>5.5999999999999999E-8</v>
      </c>
      <c r="AO106" s="5" t="s">
        <v>273</v>
      </c>
      <c r="AQ106" s="6" t="s">
        <v>172</v>
      </c>
      <c r="AR106">
        <v>6.5500000000000003E-2</v>
      </c>
      <c r="AS106" s="5" t="s">
        <v>27</v>
      </c>
      <c r="AU106" s="6" t="s">
        <v>359</v>
      </c>
      <c r="AV106">
        <v>1.35E-2</v>
      </c>
      <c r="AW106" s="5" t="s">
        <v>23</v>
      </c>
      <c r="AY106" s="6" t="s">
        <v>372</v>
      </c>
      <c r="AZ106">
        <v>3.4599999999999999E-2</v>
      </c>
      <c r="BA106" s="5" t="s">
        <v>195</v>
      </c>
      <c r="BC106" s="6" t="s">
        <v>396</v>
      </c>
      <c r="BD106">
        <v>7.7100000000000002E-2</v>
      </c>
      <c r="BE106" s="5" t="s">
        <v>180</v>
      </c>
      <c r="BO106" s="23" t="s">
        <v>406</v>
      </c>
      <c r="BP106" s="24">
        <v>1.35</v>
      </c>
      <c r="BQ106" s="25" t="s">
        <v>23</v>
      </c>
      <c r="BS106" s="76" t="s">
        <v>182</v>
      </c>
      <c r="BT106" s="77"/>
      <c r="BU106" s="78"/>
      <c r="CA106" s="23" t="s">
        <v>420</v>
      </c>
      <c r="CB106" s="24">
        <v>1</v>
      </c>
      <c r="CC106" s="25" t="s">
        <v>23</v>
      </c>
    </row>
    <row r="107" spans="3:89" x14ac:dyDescent="0.25">
      <c r="C107" s="29" t="s">
        <v>181</v>
      </c>
      <c r="D107" s="32">
        <v>0.87</v>
      </c>
      <c r="E107" s="31" t="s">
        <v>180</v>
      </c>
      <c r="G107" s="6" t="s">
        <v>200</v>
      </c>
      <c r="H107">
        <v>0.1</v>
      </c>
      <c r="I107" s="5" t="s">
        <v>23</v>
      </c>
      <c r="O107" s="6" t="s">
        <v>233</v>
      </c>
      <c r="P107">
        <v>0.14000000000000001</v>
      </c>
      <c r="Q107" s="5" t="s">
        <v>23</v>
      </c>
      <c r="AM107" s="6" t="s">
        <v>287</v>
      </c>
      <c r="AN107">
        <v>2.3800000000000002E-2</v>
      </c>
      <c r="AO107" s="5" t="s">
        <v>27</v>
      </c>
      <c r="AQ107" s="6" t="s">
        <v>197</v>
      </c>
      <c r="AR107">
        <v>2.3300000000000001E-2</v>
      </c>
      <c r="AS107" s="5" t="s">
        <v>27</v>
      </c>
      <c r="AU107" s="6" t="s">
        <v>360</v>
      </c>
      <c r="AV107">
        <v>5.2163729999999998E-3</v>
      </c>
      <c r="AW107" s="5" t="s">
        <v>69</v>
      </c>
      <c r="AY107" s="6" t="s">
        <v>288</v>
      </c>
      <c r="AZ107">
        <v>0.54</v>
      </c>
      <c r="BA107" s="5" t="s">
        <v>195</v>
      </c>
      <c r="BC107" s="6" t="s">
        <v>207</v>
      </c>
      <c r="BD107">
        <v>3.16</v>
      </c>
      <c r="BE107" s="5" t="s">
        <v>23</v>
      </c>
      <c r="BS107" s="26" t="s">
        <v>410</v>
      </c>
      <c r="BT107" s="27">
        <v>1</v>
      </c>
      <c r="BU107" s="28" t="s">
        <v>23</v>
      </c>
    </row>
    <row r="108" spans="3:89" x14ac:dyDescent="0.25">
      <c r="C108" s="99" t="s">
        <v>182</v>
      </c>
      <c r="D108" s="100"/>
      <c r="E108" s="101"/>
      <c r="G108" s="6" t="s">
        <v>201</v>
      </c>
      <c r="H108">
        <v>2.7999999999999998E-9</v>
      </c>
      <c r="I108" s="5" t="s">
        <v>171</v>
      </c>
      <c r="O108" s="6" t="s">
        <v>234</v>
      </c>
      <c r="P108">
        <v>1.9599999999999999E-3</v>
      </c>
      <c r="Q108" s="5" t="s">
        <v>23</v>
      </c>
      <c r="AM108" s="6" t="s">
        <v>288</v>
      </c>
      <c r="AN108">
        <v>1.44E-2</v>
      </c>
      <c r="AO108" s="5" t="s">
        <v>195</v>
      </c>
      <c r="AQ108" s="6" t="s">
        <v>308</v>
      </c>
      <c r="AR108">
        <v>5.7010800000000005E-4</v>
      </c>
      <c r="AS108" s="5" t="s">
        <v>23</v>
      </c>
      <c r="AU108" s="76" t="s">
        <v>182</v>
      </c>
      <c r="AV108" s="77"/>
      <c r="AW108" s="78"/>
      <c r="AY108" s="6" t="s">
        <v>373</v>
      </c>
      <c r="AZ108">
        <v>3.2999999999999998E-8</v>
      </c>
      <c r="BA108" s="5" t="s">
        <v>23</v>
      </c>
      <c r="BC108" s="76" t="s">
        <v>182</v>
      </c>
      <c r="BD108" s="77"/>
      <c r="BE108" s="78"/>
      <c r="BS108" s="6" t="s">
        <v>212</v>
      </c>
      <c r="BT108">
        <v>8.8569999999999996E-2</v>
      </c>
      <c r="BU108" s="5" t="s">
        <v>23</v>
      </c>
    </row>
    <row r="109" spans="3:89" x14ac:dyDescent="0.25">
      <c r="C109" s="33" t="s">
        <v>183</v>
      </c>
      <c r="D109" s="34">
        <v>1</v>
      </c>
      <c r="E109" s="35" t="s">
        <v>23</v>
      </c>
      <c r="G109" s="6" t="s">
        <v>202</v>
      </c>
      <c r="H109">
        <v>4.3000000000000002E-5</v>
      </c>
      <c r="I109" s="5" t="s">
        <v>69</v>
      </c>
      <c r="O109" s="6" t="s">
        <v>235</v>
      </c>
      <c r="P109">
        <v>0.12</v>
      </c>
      <c r="Q109" s="5" t="s">
        <v>23</v>
      </c>
      <c r="AM109" s="6" t="s">
        <v>289</v>
      </c>
      <c r="AN109">
        <v>1.54E-2</v>
      </c>
      <c r="AO109" s="5" t="s">
        <v>27</v>
      </c>
      <c r="AQ109" s="6" t="s">
        <v>309</v>
      </c>
      <c r="AR109">
        <v>4.6015099999999998E-7</v>
      </c>
      <c r="AS109" s="5" t="s">
        <v>23</v>
      </c>
      <c r="AU109" s="26" t="s">
        <v>361</v>
      </c>
      <c r="AV109" s="27">
        <v>1.32</v>
      </c>
      <c r="AW109" s="28" t="s">
        <v>23</v>
      </c>
      <c r="AY109" s="6" t="s">
        <v>374</v>
      </c>
      <c r="AZ109">
        <v>1.1E-4</v>
      </c>
      <c r="BA109" s="5" t="s">
        <v>23</v>
      </c>
      <c r="BC109" s="26" t="s">
        <v>397</v>
      </c>
      <c r="BD109" s="27">
        <v>1</v>
      </c>
      <c r="BE109" s="28" t="s">
        <v>23</v>
      </c>
      <c r="BS109" s="6" t="s">
        <v>299</v>
      </c>
      <c r="BT109">
        <v>1.3600000000000001E-3</v>
      </c>
      <c r="BU109" s="5" t="s">
        <v>69</v>
      </c>
    </row>
    <row r="110" spans="3:89" x14ac:dyDescent="0.25">
      <c r="C110" s="29" t="s">
        <v>184</v>
      </c>
      <c r="D110" s="32">
        <v>8.48E-2</v>
      </c>
      <c r="E110" s="31" t="s">
        <v>23</v>
      </c>
      <c r="G110" s="6" t="s">
        <v>203</v>
      </c>
      <c r="H110">
        <v>2.2400000000000002</v>
      </c>
      <c r="I110" s="5" t="s">
        <v>23</v>
      </c>
      <c r="O110" s="6" t="s">
        <v>236</v>
      </c>
      <c r="P110">
        <v>0.21</v>
      </c>
      <c r="Q110" s="5" t="s">
        <v>237</v>
      </c>
      <c r="AM110" s="6" t="s">
        <v>290</v>
      </c>
      <c r="AN110">
        <v>1.2E-5</v>
      </c>
      <c r="AO110" s="5" t="s">
        <v>23</v>
      </c>
      <c r="AQ110" s="6" t="s">
        <v>175</v>
      </c>
      <c r="AR110">
        <v>3.2924699999999998E-6</v>
      </c>
      <c r="AS110" s="5" t="s">
        <v>23</v>
      </c>
      <c r="AU110" s="6" t="s">
        <v>362</v>
      </c>
      <c r="AV110">
        <v>2.305E-6</v>
      </c>
      <c r="AW110" s="5" t="s">
        <v>23</v>
      </c>
      <c r="AY110" s="6" t="s">
        <v>375</v>
      </c>
      <c r="AZ110">
        <v>4.5000000000000003E-5</v>
      </c>
      <c r="BA110" s="5" t="s">
        <v>23</v>
      </c>
      <c r="BC110" s="6" t="s">
        <v>398</v>
      </c>
      <c r="BD110">
        <v>1</v>
      </c>
      <c r="BE110" s="5" t="s">
        <v>23</v>
      </c>
      <c r="BS110" s="6" t="s">
        <v>411</v>
      </c>
      <c r="BT110">
        <v>5.5000000000000003E-4</v>
      </c>
      <c r="BU110" s="5" t="s">
        <v>23</v>
      </c>
    </row>
    <row r="111" spans="3:89" ht="15.75" thickBot="1" x14ac:dyDescent="0.3">
      <c r="C111" s="29" t="s">
        <v>185</v>
      </c>
      <c r="D111" s="32">
        <v>8.7999999999999995E-2</v>
      </c>
      <c r="E111" s="31" t="s">
        <v>23</v>
      </c>
      <c r="G111" s="6" t="s">
        <v>204</v>
      </c>
      <c r="H111">
        <v>1.9599999999999999E-3</v>
      </c>
      <c r="I111" s="5" t="s">
        <v>23</v>
      </c>
      <c r="O111" s="6" t="s">
        <v>238</v>
      </c>
      <c r="P111">
        <v>0.1</v>
      </c>
      <c r="Q111" s="5" t="s">
        <v>237</v>
      </c>
      <c r="AM111" s="6" t="s">
        <v>291</v>
      </c>
      <c r="AN111">
        <v>3.1000000000000003E-11</v>
      </c>
      <c r="AO111" s="5" t="s">
        <v>171</v>
      </c>
      <c r="AQ111" s="6" t="s">
        <v>310</v>
      </c>
      <c r="AR111">
        <v>3.9974999999999999E-9</v>
      </c>
      <c r="AS111" s="5" t="s">
        <v>23</v>
      </c>
      <c r="AU111" s="6" t="s">
        <v>314</v>
      </c>
      <c r="AV111">
        <v>3.6500000000000003E-8</v>
      </c>
      <c r="AW111" s="5" t="s">
        <v>23</v>
      </c>
      <c r="AY111" s="6" t="s">
        <v>376</v>
      </c>
      <c r="AZ111">
        <v>3.7000000000000002E-3</v>
      </c>
      <c r="BA111" s="5" t="s">
        <v>23</v>
      </c>
      <c r="BC111" s="6" t="s">
        <v>185</v>
      </c>
      <c r="BD111">
        <v>0.16</v>
      </c>
      <c r="BE111" s="5" t="s">
        <v>23</v>
      </c>
      <c r="BS111" s="7" t="s">
        <v>412</v>
      </c>
      <c r="BT111" s="8">
        <v>5.8E-4</v>
      </c>
      <c r="BU111" s="9" t="s">
        <v>23</v>
      </c>
    </row>
    <row r="112" spans="3:89" x14ac:dyDescent="0.25">
      <c r="C112" s="29" t="s">
        <v>186</v>
      </c>
      <c r="D112" s="32">
        <v>2.36</v>
      </c>
      <c r="E112" s="31" t="s">
        <v>23</v>
      </c>
      <c r="G112" s="6" t="s">
        <v>205</v>
      </c>
      <c r="H112">
        <v>0.12</v>
      </c>
      <c r="I112" s="5" t="s">
        <v>23</v>
      </c>
      <c r="O112" s="6" t="s">
        <v>239</v>
      </c>
      <c r="P112">
        <v>8.7400000000000005E-2</v>
      </c>
      <c r="Q112" s="5" t="s">
        <v>23</v>
      </c>
      <c r="AM112" s="6" t="s">
        <v>292</v>
      </c>
      <c r="AN112">
        <v>6.2700000000000006E-2</v>
      </c>
      <c r="AO112" s="5" t="s">
        <v>23</v>
      </c>
      <c r="AQ112" s="6" t="s">
        <v>311</v>
      </c>
      <c r="AR112">
        <v>3.3821600000000002E-5</v>
      </c>
      <c r="AS112" s="5" t="s">
        <v>23</v>
      </c>
      <c r="AU112" s="6" t="s">
        <v>316</v>
      </c>
      <c r="AV112">
        <v>2.32E-3</v>
      </c>
      <c r="AW112" s="5" t="s">
        <v>23</v>
      </c>
      <c r="AY112" s="6" t="s">
        <v>307</v>
      </c>
      <c r="AZ112">
        <v>1.4E-2</v>
      </c>
      <c r="BA112" s="5" t="s">
        <v>23</v>
      </c>
      <c r="BC112" s="6" t="s">
        <v>399</v>
      </c>
      <c r="BD112">
        <v>5.6399999999999999E-2</v>
      </c>
      <c r="BE112" s="5" t="s">
        <v>23</v>
      </c>
    </row>
    <row r="113" spans="3:57" x14ac:dyDescent="0.25">
      <c r="C113" s="29" t="s">
        <v>187</v>
      </c>
      <c r="D113" s="32">
        <v>1.87</v>
      </c>
      <c r="E113" s="31" t="s">
        <v>23</v>
      </c>
      <c r="G113" s="6" t="s">
        <v>206</v>
      </c>
      <c r="H113">
        <v>3.7449999999999997E-2</v>
      </c>
      <c r="I113" s="5" t="s">
        <v>23</v>
      </c>
      <c r="O113" s="76" t="s">
        <v>182</v>
      </c>
      <c r="P113" s="77"/>
      <c r="Q113" s="78"/>
      <c r="AM113" s="6" t="s">
        <v>293</v>
      </c>
      <c r="AN113">
        <v>8.2999999999999998E-5</v>
      </c>
      <c r="AO113" s="5" t="s">
        <v>28</v>
      </c>
      <c r="AQ113" s="6" t="s">
        <v>312</v>
      </c>
      <c r="AR113">
        <v>2.1600000000000001E-2</v>
      </c>
      <c r="AS113" s="5" t="s">
        <v>23</v>
      </c>
      <c r="AU113" s="6" t="s">
        <v>317</v>
      </c>
      <c r="AV113">
        <v>1.254E-6</v>
      </c>
      <c r="AW113" s="5" t="s">
        <v>23</v>
      </c>
      <c r="AY113" s="6" t="s">
        <v>172</v>
      </c>
      <c r="AZ113">
        <v>1.23</v>
      </c>
      <c r="BA113" s="5" t="s">
        <v>27</v>
      </c>
      <c r="BC113" s="6" t="s">
        <v>333</v>
      </c>
      <c r="BD113">
        <v>0.23</v>
      </c>
      <c r="BE113" s="5" t="s">
        <v>23</v>
      </c>
    </row>
    <row r="114" spans="3:57" x14ac:dyDescent="0.25">
      <c r="C114" s="29" t="s">
        <v>188</v>
      </c>
      <c r="D114" s="32">
        <v>0.38</v>
      </c>
      <c r="E114" s="31" t="s">
        <v>23</v>
      </c>
      <c r="G114" s="6" t="s">
        <v>179</v>
      </c>
      <c r="H114">
        <v>1.97</v>
      </c>
      <c r="I114" s="5" t="s">
        <v>180</v>
      </c>
      <c r="O114" s="26" t="s">
        <v>241</v>
      </c>
      <c r="P114" s="27">
        <v>1</v>
      </c>
      <c r="Q114" s="28" t="s">
        <v>23</v>
      </c>
      <c r="AM114" s="76" t="s">
        <v>182</v>
      </c>
      <c r="AN114" s="77"/>
      <c r="AO114" s="78"/>
      <c r="AQ114" s="76" t="s">
        <v>182</v>
      </c>
      <c r="AR114" s="77"/>
      <c r="AS114" s="78"/>
      <c r="AU114" s="6" t="s">
        <v>318</v>
      </c>
      <c r="AV114">
        <v>2.3050000000000001E-7</v>
      </c>
      <c r="AW114" s="5" t="s">
        <v>23</v>
      </c>
      <c r="AY114" s="6" t="s">
        <v>377</v>
      </c>
      <c r="AZ114">
        <v>1.4E-5</v>
      </c>
      <c r="BA114" s="5" t="s">
        <v>23</v>
      </c>
      <c r="BC114" s="6" t="s">
        <v>212</v>
      </c>
      <c r="BD114">
        <v>8.4500000000000006E-2</v>
      </c>
      <c r="BE114" s="5" t="s">
        <v>23</v>
      </c>
    </row>
    <row r="115" spans="3:57" ht="15.75" thickBot="1" x14ac:dyDescent="0.3">
      <c r="C115" s="29" t="s">
        <v>189</v>
      </c>
      <c r="D115" s="32">
        <v>2.81</v>
      </c>
      <c r="E115" s="31" t="s">
        <v>23</v>
      </c>
      <c r="G115" s="6" t="s">
        <v>181</v>
      </c>
      <c r="H115">
        <v>0.33</v>
      </c>
      <c r="I115" s="5" t="s">
        <v>180</v>
      </c>
      <c r="O115" s="7" t="s">
        <v>240</v>
      </c>
      <c r="P115" s="8">
        <v>2.5000000000000001E-2</v>
      </c>
      <c r="Q115" s="9" t="s">
        <v>23</v>
      </c>
      <c r="AM115" s="26" t="s">
        <v>301</v>
      </c>
      <c r="AN115" s="27">
        <v>1.53</v>
      </c>
      <c r="AO115" s="28" t="s">
        <v>23</v>
      </c>
      <c r="AQ115" s="26" t="s">
        <v>313</v>
      </c>
      <c r="AR115" s="27">
        <v>1.46</v>
      </c>
      <c r="AS115" s="28" t="s">
        <v>23</v>
      </c>
      <c r="AU115" s="6" t="s">
        <v>320</v>
      </c>
      <c r="AV115">
        <v>4.5350000000000004E-12</v>
      </c>
      <c r="AW115" s="5" t="s">
        <v>23</v>
      </c>
      <c r="AY115" s="6" t="s">
        <v>355</v>
      </c>
      <c r="AZ115">
        <v>2.5000000000000001E-2</v>
      </c>
      <c r="BA115" s="5" t="s">
        <v>69</v>
      </c>
      <c r="BC115" s="6" t="s">
        <v>388</v>
      </c>
      <c r="BD115">
        <v>6.5000000000000002E-2</v>
      </c>
      <c r="BE115" s="5" t="s">
        <v>23</v>
      </c>
    </row>
    <row r="116" spans="3:57" ht="15.75" thickBot="1" x14ac:dyDescent="0.3">
      <c r="C116" s="36" t="s">
        <v>190</v>
      </c>
      <c r="D116" s="22">
        <v>0.11</v>
      </c>
      <c r="E116" s="37" t="s">
        <v>23</v>
      </c>
      <c r="G116" s="6" t="s">
        <v>207</v>
      </c>
      <c r="H116">
        <v>4.25</v>
      </c>
      <c r="I116" s="5" t="s">
        <v>23</v>
      </c>
      <c r="AM116" s="6" t="s">
        <v>294</v>
      </c>
      <c r="AN116">
        <v>0.46</v>
      </c>
      <c r="AO116" s="5" t="s">
        <v>23</v>
      </c>
      <c r="AQ116" s="6" t="s">
        <v>314</v>
      </c>
      <c r="AR116">
        <v>2.1E-10</v>
      </c>
      <c r="AS116" s="5" t="s">
        <v>23</v>
      </c>
      <c r="AU116" s="6" t="s">
        <v>363</v>
      </c>
      <c r="AV116">
        <v>7.7008000000000005E-5</v>
      </c>
      <c r="AW116" s="5" t="s">
        <v>23</v>
      </c>
      <c r="AY116" s="6" t="s">
        <v>378</v>
      </c>
      <c r="AZ116">
        <v>3.3000000000000003E-5</v>
      </c>
      <c r="BA116" s="5" t="s">
        <v>23</v>
      </c>
      <c r="BC116" s="6" t="s">
        <v>390</v>
      </c>
      <c r="BD116">
        <v>6.3200000000000006E-2</v>
      </c>
      <c r="BE116" s="5" t="s">
        <v>23</v>
      </c>
    </row>
    <row r="117" spans="3:57" ht="15.75" thickBot="1" x14ac:dyDescent="0.3">
      <c r="G117" s="6" t="s">
        <v>208</v>
      </c>
      <c r="H117">
        <v>0.12</v>
      </c>
      <c r="I117" s="5" t="s">
        <v>69</v>
      </c>
      <c r="AM117" s="6" t="s">
        <v>295</v>
      </c>
      <c r="AN117">
        <v>1.8E-5</v>
      </c>
      <c r="AO117" s="5" t="s">
        <v>23</v>
      </c>
      <c r="AQ117" s="6" t="s">
        <v>315</v>
      </c>
      <c r="AR117">
        <v>2.4459999999999999E-2</v>
      </c>
      <c r="AS117" s="5" t="s">
        <v>23</v>
      </c>
      <c r="AU117" s="6" t="s">
        <v>322</v>
      </c>
      <c r="AV117">
        <v>5.2000000000000002E-6</v>
      </c>
      <c r="AW117" s="5" t="s">
        <v>23</v>
      </c>
      <c r="AY117" s="6" t="s">
        <v>356</v>
      </c>
      <c r="AZ117">
        <v>5.0729999999999997E-2</v>
      </c>
      <c r="BA117" s="5" t="s">
        <v>23</v>
      </c>
      <c r="BC117" s="7" t="s">
        <v>400</v>
      </c>
      <c r="BD117" s="8">
        <v>0.47</v>
      </c>
      <c r="BE117" s="9" t="s">
        <v>23</v>
      </c>
    </row>
    <row r="118" spans="3:57" x14ac:dyDescent="0.25">
      <c r="G118" s="76" t="s">
        <v>182</v>
      </c>
      <c r="H118" s="77"/>
      <c r="I118" s="78"/>
      <c r="AM118" s="6" t="s">
        <v>296</v>
      </c>
      <c r="AN118">
        <v>2.4000000000000001E-4</v>
      </c>
      <c r="AO118" s="5" t="s">
        <v>23</v>
      </c>
      <c r="AQ118" s="6" t="s">
        <v>316</v>
      </c>
      <c r="AR118">
        <v>2.1002099999999999E-4</v>
      </c>
      <c r="AS118" s="5" t="s">
        <v>23</v>
      </c>
      <c r="AU118" s="6" t="s">
        <v>323</v>
      </c>
      <c r="AV118">
        <v>2.3499999999999999E-6</v>
      </c>
      <c r="AW118" s="5" t="s">
        <v>23</v>
      </c>
      <c r="AY118" s="6" t="s">
        <v>379</v>
      </c>
      <c r="AZ118">
        <v>2.7299999999999998E-3</v>
      </c>
      <c r="BA118" s="5" t="s">
        <v>27</v>
      </c>
    </row>
    <row r="119" spans="3:57" x14ac:dyDescent="0.25">
      <c r="G119" s="26" t="s">
        <v>209</v>
      </c>
      <c r="H119" s="27">
        <v>2</v>
      </c>
      <c r="I119" s="28" t="s">
        <v>23</v>
      </c>
      <c r="AM119" s="6" t="s">
        <v>297</v>
      </c>
      <c r="AN119">
        <v>9.6000000000000002E-5</v>
      </c>
      <c r="AO119" s="5" t="s">
        <v>23</v>
      </c>
      <c r="AQ119" s="6" t="s">
        <v>317</v>
      </c>
      <c r="AR119">
        <v>2.7000000000000002E-9</v>
      </c>
      <c r="AS119" s="5" t="s">
        <v>23</v>
      </c>
      <c r="AU119" s="6" t="s">
        <v>324</v>
      </c>
      <c r="AV119">
        <v>1.8080000000000001E-6</v>
      </c>
      <c r="AW119" s="5" t="s">
        <v>23</v>
      </c>
      <c r="AY119" s="6" t="s">
        <v>358</v>
      </c>
      <c r="AZ119">
        <v>5.5E-2</v>
      </c>
      <c r="BA119" s="5" t="s">
        <v>23</v>
      </c>
    </row>
    <row r="120" spans="3:57" x14ac:dyDescent="0.25">
      <c r="G120" s="6" t="s">
        <v>210</v>
      </c>
      <c r="H120">
        <v>6.4200000000000004E-3</v>
      </c>
      <c r="I120" s="5" t="s">
        <v>23</v>
      </c>
      <c r="AM120" s="6" t="s">
        <v>298</v>
      </c>
      <c r="AN120">
        <v>8.7899999999999992E-3</v>
      </c>
      <c r="AO120" s="5" t="s">
        <v>69</v>
      </c>
      <c r="AQ120" s="6" t="s">
        <v>318</v>
      </c>
      <c r="AR120">
        <v>4.5999999999999998E-9</v>
      </c>
      <c r="AS120" s="5" t="s">
        <v>23</v>
      </c>
      <c r="AU120" s="6" t="s">
        <v>326</v>
      </c>
      <c r="AV120">
        <v>2.238E-6</v>
      </c>
      <c r="AW120" s="5" t="s">
        <v>23</v>
      </c>
      <c r="AY120" s="6" t="s">
        <v>359</v>
      </c>
      <c r="AZ120">
        <v>1.35E-2</v>
      </c>
      <c r="BA120" s="5" t="s">
        <v>23</v>
      </c>
    </row>
    <row r="121" spans="3:57" ht="15.75" thickBot="1" x14ac:dyDescent="0.3">
      <c r="G121" s="6" t="s">
        <v>185</v>
      </c>
      <c r="H121">
        <v>0.89</v>
      </c>
      <c r="I121" s="5" t="s">
        <v>23</v>
      </c>
      <c r="AM121" s="7" t="s">
        <v>299</v>
      </c>
      <c r="AN121" s="8">
        <v>5.0000000000000002E-5</v>
      </c>
      <c r="AO121" s="9" t="s">
        <v>69</v>
      </c>
      <c r="AQ121" s="6" t="s">
        <v>319</v>
      </c>
      <c r="AR121">
        <v>1.4976799999999999E-9</v>
      </c>
      <c r="AS121" s="5" t="s">
        <v>23</v>
      </c>
      <c r="AU121" s="6" t="s">
        <v>328</v>
      </c>
      <c r="AV121">
        <v>7.0050000000000001E-7</v>
      </c>
      <c r="AW121" s="5" t="s">
        <v>23</v>
      </c>
      <c r="AY121" s="76" t="s">
        <v>182</v>
      </c>
      <c r="AZ121" s="77"/>
      <c r="BA121" s="78"/>
    </row>
    <row r="122" spans="3:57" x14ac:dyDescent="0.25">
      <c r="G122" s="6" t="s">
        <v>211</v>
      </c>
      <c r="H122">
        <v>6.2000000000000003E-5</v>
      </c>
      <c r="I122" s="5" t="s">
        <v>23</v>
      </c>
      <c r="AQ122" s="6" t="s">
        <v>320</v>
      </c>
      <c r="AR122">
        <v>5.7000000000000003E-15</v>
      </c>
      <c r="AS122" s="5" t="s">
        <v>23</v>
      </c>
      <c r="AU122" s="6" t="s">
        <v>329</v>
      </c>
      <c r="AV122">
        <v>1.8000000000000001E-4</v>
      </c>
      <c r="AW122" s="5" t="s">
        <v>23</v>
      </c>
      <c r="AY122" s="6" t="s">
        <v>380</v>
      </c>
      <c r="AZ122">
        <v>1.2</v>
      </c>
      <c r="BA122" s="5" t="s">
        <v>23</v>
      </c>
    </row>
    <row r="123" spans="3:57" x14ac:dyDescent="0.25">
      <c r="G123" s="6" t="s">
        <v>212</v>
      </c>
      <c r="H123">
        <v>23.5</v>
      </c>
      <c r="I123" s="5" t="s">
        <v>23</v>
      </c>
      <c r="AQ123" s="6" t="s">
        <v>321</v>
      </c>
      <c r="AR123">
        <v>2.2500000000000001E-5</v>
      </c>
      <c r="AS123" s="5" t="s">
        <v>23</v>
      </c>
      <c r="AU123" s="6" t="s">
        <v>331</v>
      </c>
      <c r="AV123">
        <v>3.7249999999999999E-8</v>
      </c>
      <c r="AW123" s="5" t="s">
        <v>23</v>
      </c>
      <c r="AY123" s="26" t="s">
        <v>381</v>
      </c>
      <c r="AZ123" s="27">
        <v>6.13E-2</v>
      </c>
      <c r="BA123" s="28" t="s">
        <v>23</v>
      </c>
    </row>
    <row r="124" spans="3:57" x14ac:dyDescent="0.25">
      <c r="G124" s="6" t="s">
        <v>213</v>
      </c>
      <c r="H124">
        <v>2.5700000000000001E-2</v>
      </c>
      <c r="I124" s="5" t="s">
        <v>23</v>
      </c>
      <c r="AQ124" s="6" t="s">
        <v>322</v>
      </c>
      <c r="AR124">
        <v>2.5198000000000002E-5</v>
      </c>
      <c r="AS124" s="5" t="s">
        <v>23</v>
      </c>
      <c r="AU124" s="6" t="s">
        <v>295</v>
      </c>
      <c r="AV124">
        <v>1.6595999999999999E-4</v>
      </c>
      <c r="AW124" s="5" t="s">
        <v>23</v>
      </c>
      <c r="AY124" s="6" t="s">
        <v>382</v>
      </c>
      <c r="AZ124">
        <v>3.29E-3</v>
      </c>
      <c r="BA124" s="5" t="s">
        <v>23</v>
      </c>
    </row>
    <row r="125" spans="3:57" x14ac:dyDescent="0.25">
      <c r="G125" s="6" t="s">
        <v>214</v>
      </c>
      <c r="H125">
        <v>7.3300000000000004E-2</v>
      </c>
      <c r="I125" s="5" t="s">
        <v>23</v>
      </c>
      <c r="AQ125" s="6" t="s">
        <v>323</v>
      </c>
      <c r="AR125">
        <v>2.0363100000000002E-5</v>
      </c>
      <c r="AS125" s="5" t="s">
        <v>23</v>
      </c>
      <c r="AU125" s="6" t="s">
        <v>296</v>
      </c>
      <c r="AV125">
        <v>5.8575000000000001E-5</v>
      </c>
      <c r="AW125" s="5" t="s">
        <v>23</v>
      </c>
      <c r="AY125" s="6" t="s">
        <v>362</v>
      </c>
      <c r="AZ125">
        <v>2.3E-6</v>
      </c>
      <c r="BA125" s="5" t="s">
        <v>23</v>
      </c>
    </row>
    <row r="126" spans="3:57" x14ac:dyDescent="0.25">
      <c r="G126" s="6" t="s">
        <v>215</v>
      </c>
      <c r="H126">
        <v>7.3300000000000004E-2</v>
      </c>
      <c r="I126" s="5" t="s">
        <v>23</v>
      </c>
      <c r="AQ126" s="6" t="s">
        <v>324</v>
      </c>
      <c r="AR126">
        <v>6.6500000000000007E-8</v>
      </c>
      <c r="AS126" s="5" t="s">
        <v>23</v>
      </c>
      <c r="AU126" s="6" t="s">
        <v>297</v>
      </c>
      <c r="AV126">
        <v>1.6595999999999999E-4</v>
      </c>
      <c r="AW126" s="5" t="s">
        <v>23</v>
      </c>
      <c r="AY126" s="6" t="s">
        <v>383</v>
      </c>
      <c r="AZ126">
        <v>2E-8</v>
      </c>
      <c r="BA126" s="5" t="s">
        <v>23</v>
      </c>
    </row>
    <row r="127" spans="3:57" x14ac:dyDescent="0.25">
      <c r="G127" s="6" t="s">
        <v>216</v>
      </c>
      <c r="H127">
        <v>2.1999999999999999E-2</v>
      </c>
      <c r="I127" s="5" t="s">
        <v>23</v>
      </c>
      <c r="AQ127" s="6" t="s">
        <v>325</v>
      </c>
      <c r="AR127">
        <v>2.3000000000000001E-8</v>
      </c>
      <c r="AS127" s="5" t="s">
        <v>23</v>
      </c>
      <c r="AU127" s="6" t="s">
        <v>364</v>
      </c>
      <c r="AV127">
        <v>2.325E-8</v>
      </c>
      <c r="AW127" s="5" t="s">
        <v>23</v>
      </c>
      <c r="AY127" s="6" t="s">
        <v>314</v>
      </c>
      <c r="AZ127">
        <v>3.7E-8</v>
      </c>
      <c r="BA127" s="5" t="s">
        <v>23</v>
      </c>
    </row>
    <row r="128" spans="3:57" x14ac:dyDescent="0.25">
      <c r="G128" s="6" t="s">
        <v>217</v>
      </c>
      <c r="H128">
        <v>2.4799999999999999E-2</v>
      </c>
      <c r="I128" s="5" t="s">
        <v>23</v>
      </c>
      <c r="AQ128" s="6" t="s">
        <v>326</v>
      </c>
      <c r="AR128">
        <v>3.4882300000000002E-10</v>
      </c>
      <c r="AS128" s="5" t="s">
        <v>23</v>
      </c>
      <c r="AU128" s="6" t="s">
        <v>333</v>
      </c>
      <c r="AV128">
        <v>7.7000000000000001E-5</v>
      </c>
      <c r="AW128" s="5" t="s">
        <v>23</v>
      </c>
      <c r="AY128" s="6" t="s">
        <v>316</v>
      </c>
      <c r="AZ128">
        <v>2.32E-3</v>
      </c>
      <c r="BA128" s="5" t="s">
        <v>23</v>
      </c>
    </row>
    <row r="129" spans="7:53" x14ac:dyDescent="0.25">
      <c r="G129" s="6" t="s">
        <v>218</v>
      </c>
      <c r="H129">
        <v>6.9699999999999998E-2</v>
      </c>
      <c r="I129" s="5" t="s">
        <v>23</v>
      </c>
      <c r="AQ129" s="6" t="s">
        <v>327</v>
      </c>
      <c r="AR129">
        <v>6.0989899999999995E-11</v>
      </c>
      <c r="AS129" s="5" t="s">
        <v>23</v>
      </c>
      <c r="AU129" s="6" t="s">
        <v>212</v>
      </c>
      <c r="AV129">
        <v>2.021344E-3</v>
      </c>
      <c r="AW129" s="5" t="s">
        <v>69</v>
      </c>
      <c r="AY129" s="6" t="s">
        <v>317</v>
      </c>
      <c r="AZ129">
        <v>1.3E-6</v>
      </c>
      <c r="BA129" s="5" t="s">
        <v>23</v>
      </c>
    </row>
    <row r="130" spans="7:53" x14ac:dyDescent="0.25">
      <c r="G130" s="6" t="s">
        <v>219</v>
      </c>
      <c r="H130">
        <v>2.1999999999999999E-2</v>
      </c>
      <c r="I130" s="5" t="s">
        <v>23</v>
      </c>
      <c r="AQ130" s="6" t="s">
        <v>328</v>
      </c>
      <c r="AR130">
        <v>1.4999999999999999E-8</v>
      </c>
      <c r="AS130" s="5" t="s">
        <v>23</v>
      </c>
      <c r="AU130" s="6" t="s">
        <v>334</v>
      </c>
      <c r="AV130">
        <v>2.2940000000000001E-5</v>
      </c>
      <c r="AW130" s="5" t="s">
        <v>23</v>
      </c>
      <c r="AY130" s="6" t="s">
        <v>318</v>
      </c>
      <c r="AZ130">
        <v>2.2999999999999999E-7</v>
      </c>
      <c r="BA130" s="5" t="s">
        <v>23</v>
      </c>
    </row>
    <row r="131" spans="7:53" ht="15.75" thickBot="1" x14ac:dyDescent="0.3">
      <c r="G131" s="7" t="s">
        <v>220</v>
      </c>
      <c r="H131" s="8">
        <v>4.0500000000000001E-2</v>
      </c>
      <c r="I131" s="9" t="s">
        <v>69</v>
      </c>
      <c r="AQ131" s="6" t="s">
        <v>329</v>
      </c>
      <c r="AR131">
        <v>3.1519600000000001E-4</v>
      </c>
      <c r="AS131" s="5" t="s">
        <v>23</v>
      </c>
      <c r="AU131" s="6" t="s">
        <v>299</v>
      </c>
      <c r="AV131">
        <v>3.1950279999999999E-3</v>
      </c>
      <c r="AW131" s="5" t="s">
        <v>69</v>
      </c>
      <c r="AY131" s="6" t="s">
        <v>320</v>
      </c>
      <c r="AZ131">
        <v>4.4999999999999998E-12</v>
      </c>
      <c r="BA131" s="5" t="s">
        <v>23</v>
      </c>
    </row>
    <row r="132" spans="7:53" x14ac:dyDescent="0.25">
      <c r="AQ132" s="6" t="s">
        <v>330</v>
      </c>
      <c r="AR132">
        <v>4.1975400000000001E-11</v>
      </c>
      <c r="AS132" s="5" t="s">
        <v>23</v>
      </c>
      <c r="AU132" s="6" t="s">
        <v>365</v>
      </c>
      <c r="AV132">
        <v>9.5999999999999992E-3</v>
      </c>
      <c r="AW132" s="5" t="s">
        <v>23</v>
      </c>
      <c r="AY132" s="6" t="s">
        <v>363</v>
      </c>
      <c r="AZ132">
        <v>7.7000000000000001E-5</v>
      </c>
      <c r="BA132" s="5" t="s">
        <v>23</v>
      </c>
    </row>
    <row r="133" spans="7:53" x14ac:dyDescent="0.25">
      <c r="AQ133" s="6" t="s">
        <v>331</v>
      </c>
      <c r="AR133">
        <v>1.8999999999999999E-10</v>
      </c>
      <c r="AS133" s="5" t="s">
        <v>23</v>
      </c>
      <c r="AU133" s="6" t="s">
        <v>366</v>
      </c>
      <c r="AV133">
        <v>5.0000000000000001E-3</v>
      </c>
      <c r="AW133" s="5" t="s">
        <v>23</v>
      </c>
      <c r="AY133" s="6" t="s">
        <v>322</v>
      </c>
      <c r="AZ133">
        <v>5.2000000000000002E-6</v>
      </c>
      <c r="BA133" s="5" t="s">
        <v>23</v>
      </c>
    </row>
    <row r="134" spans="7:53" ht="15.75" thickBot="1" x14ac:dyDescent="0.3">
      <c r="AQ134" s="6" t="s">
        <v>295</v>
      </c>
      <c r="AR134">
        <v>7.5338899999999998E-5</v>
      </c>
      <c r="AS134" s="5" t="s">
        <v>23</v>
      </c>
      <c r="AU134" s="7" t="s">
        <v>367</v>
      </c>
      <c r="AV134" s="8">
        <v>9.2799999999999994E-2</v>
      </c>
      <c r="AW134" s="9" t="s">
        <v>23</v>
      </c>
      <c r="AY134" s="6" t="s">
        <v>323</v>
      </c>
      <c r="AZ134">
        <v>2.3999999999999999E-6</v>
      </c>
      <c r="BA134" s="5" t="s">
        <v>23</v>
      </c>
    </row>
    <row r="135" spans="7:53" x14ac:dyDescent="0.25">
      <c r="AQ135" s="6" t="s">
        <v>296</v>
      </c>
      <c r="AR135">
        <v>5.85763E-7</v>
      </c>
      <c r="AS135" s="5" t="s">
        <v>23</v>
      </c>
      <c r="AY135" s="6" t="s">
        <v>324</v>
      </c>
      <c r="AZ135">
        <v>1.7999999999999999E-6</v>
      </c>
      <c r="BA135" s="5" t="s">
        <v>23</v>
      </c>
    </row>
    <row r="136" spans="7:53" x14ac:dyDescent="0.25">
      <c r="AQ136" s="6" t="s">
        <v>297</v>
      </c>
      <c r="AR136">
        <v>4.01489E-7</v>
      </c>
      <c r="AS136" s="5" t="s">
        <v>23</v>
      </c>
      <c r="AY136" s="6" t="s">
        <v>326</v>
      </c>
      <c r="AZ136">
        <v>2.2000000000000001E-6</v>
      </c>
      <c r="BA136" s="5" t="s">
        <v>23</v>
      </c>
    </row>
    <row r="137" spans="7:53" x14ac:dyDescent="0.25">
      <c r="AQ137" s="6" t="s">
        <v>332</v>
      </c>
      <c r="AR137">
        <v>5.64238E-11</v>
      </c>
      <c r="AS137" s="5" t="s">
        <v>23</v>
      </c>
      <c r="AY137" s="6" t="s">
        <v>328</v>
      </c>
      <c r="AZ137">
        <v>6.9999999999999997E-7</v>
      </c>
      <c r="BA137" s="5" t="s">
        <v>23</v>
      </c>
    </row>
    <row r="138" spans="7:53" x14ac:dyDescent="0.25">
      <c r="AQ138" s="6" t="s">
        <v>333</v>
      </c>
      <c r="AR138">
        <v>1.3494000000000001E-4</v>
      </c>
      <c r="AS138" s="5" t="s">
        <v>23</v>
      </c>
      <c r="AY138" s="6" t="s">
        <v>329</v>
      </c>
      <c r="AZ138">
        <v>1.8000000000000001E-4</v>
      </c>
      <c r="BA138" s="5" t="s">
        <v>23</v>
      </c>
    </row>
    <row r="139" spans="7:53" x14ac:dyDescent="0.25">
      <c r="AQ139" s="6" t="s">
        <v>212</v>
      </c>
      <c r="AR139">
        <v>3.2499999999999999E-3</v>
      </c>
      <c r="AS139" s="5" t="s">
        <v>69</v>
      </c>
      <c r="AY139" s="6" t="s">
        <v>331</v>
      </c>
      <c r="AZ139">
        <v>3.7E-8</v>
      </c>
      <c r="BA139" s="5" t="s">
        <v>23</v>
      </c>
    </row>
    <row r="140" spans="7:53" x14ac:dyDescent="0.25">
      <c r="AQ140" s="6" t="s">
        <v>334</v>
      </c>
      <c r="AR140">
        <v>5.62E-8</v>
      </c>
      <c r="AS140" s="5" t="s">
        <v>23</v>
      </c>
      <c r="AY140" s="6" t="s">
        <v>295</v>
      </c>
      <c r="AZ140">
        <v>1.7000000000000001E-4</v>
      </c>
      <c r="BA140" s="5" t="s">
        <v>23</v>
      </c>
    </row>
    <row r="141" spans="7:53" x14ac:dyDescent="0.25">
      <c r="AQ141" s="6" t="s">
        <v>335</v>
      </c>
      <c r="AR141">
        <v>6.2033500000000002E-12</v>
      </c>
      <c r="AS141" s="5" t="s">
        <v>23</v>
      </c>
      <c r="AY141" s="6" t="s">
        <v>296</v>
      </c>
      <c r="AZ141">
        <v>5.8999999999999998E-5</v>
      </c>
      <c r="BA141" s="5" t="s">
        <v>23</v>
      </c>
    </row>
    <row r="142" spans="7:53" x14ac:dyDescent="0.25">
      <c r="AQ142" s="6" t="s">
        <v>336</v>
      </c>
      <c r="AR142">
        <v>3.1013499999999999E-12</v>
      </c>
      <c r="AS142" s="5" t="s">
        <v>23</v>
      </c>
      <c r="AY142" s="6" t="s">
        <v>297</v>
      </c>
      <c r="AZ142">
        <v>1.7000000000000001E-4</v>
      </c>
      <c r="BA142" s="5" t="s">
        <v>23</v>
      </c>
    </row>
    <row r="143" spans="7:53" x14ac:dyDescent="0.25">
      <c r="AQ143" s="6" t="s">
        <v>337</v>
      </c>
      <c r="AR143">
        <v>4.9607300000000002E-11</v>
      </c>
      <c r="AS143" s="5" t="s">
        <v>23</v>
      </c>
      <c r="AY143" s="6" t="s">
        <v>364</v>
      </c>
      <c r="AZ143">
        <v>2.3000000000000001E-8</v>
      </c>
      <c r="BA143" s="5" t="s">
        <v>23</v>
      </c>
    </row>
    <row r="144" spans="7:53" x14ac:dyDescent="0.25">
      <c r="AQ144" s="6" t="s">
        <v>338</v>
      </c>
      <c r="AR144">
        <v>6.2033500000000002E-12</v>
      </c>
      <c r="AS144" s="5" t="s">
        <v>23</v>
      </c>
      <c r="AY144" s="6" t="s">
        <v>333</v>
      </c>
      <c r="AZ144">
        <v>7.7000000000000001E-5</v>
      </c>
      <c r="BA144" s="5" t="s">
        <v>23</v>
      </c>
    </row>
    <row r="145" spans="43:53" x14ac:dyDescent="0.25">
      <c r="AQ145" s="6" t="s">
        <v>339</v>
      </c>
      <c r="AR145">
        <v>6.2033500000000002E-12</v>
      </c>
      <c r="AS145" s="5" t="s">
        <v>23</v>
      </c>
      <c r="AY145" s="6" t="s">
        <v>212</v>
      </c>
      <c r="AZ145">
        <v>2.9199999999999999E-3</v>
      </c>
      <c r="BA145" s="5" t="s">
        <v>69</v>
      </c>
    </row>
    <row r="146" spans="43:53" x14ac:dyDescent="0.25">
      <c r="AQ146" s="6" t="s">
        <v>340</v>
      </c>
      <c r="AR146">
        <v>1.1793500000000001E-8</v>
      </c>
      <c r="AS146" s="5" t="s">
        <v>23</v>
      </c>
      <c r="AY146" s="6" t="s">
        <v>334</v>
      </c>
      <c r="AZ146">
        <v>2.3E-5</v>
      </c>
      <c r="BA146" s="5" t="s">
        <v>23</v>
      </c>
    </row>
    <row r="147" spans="43:53" x14ac:dyDescent="0.25">
      <c r="AQ147" s="6" t="s">
        <v>341</v>
      </c>
      <c r="AR147">
        <v>6.2033500000000002E-12</v>
      </c>
      <c r="AS147" s="5" t="s">
        <v>23</v>
      </c>
      <c r="AY147" s="6" t="s">
        <v>384</v>
      </c>
      <c r="AZ147">
        <v>1.7999999999999999E-6</v>
      </c>
      <c r="BA147" s="5" t="s">
        <v>23</v>
      </c>
    </row>
    <row r="148" spans="43:53" x14ac:dyDescent="0.25">
      <c r="AQ148" s="6" t="s">
        <v>342</v>
      </c>
      <c r="AR148">
        <v>1.86068E-9</v>
      </c>
      <c r="AS148" s="5" t="s">
        <v>23</v>
      </c>
      <c r="AY148" s="6" t="s">
        <v>385</v>
      </c>
      <c r="AZ148">
        <v>1.9000000000000001E-9</v>
      </c>
      <c r="BA148" s="5" t="s">
        <v>23</v>
      </c>
    </row>
    <row r="149" spans="43:53" x14ac:dyDescent="0.25">
      <c r="AQ149" s="6" t="s">
        <v>343</v>
      </c>
      <c r="AR149">
        <v>8.0624000000000001E-13</v>
      </c>
      <c r="AS149" s="5" t="s">
        <v>23</v>
      </c>
      <c r="AY149" s="6" t="s">
        <v>299</v>
      </c>
      <c r="AZ149">
        <v>2.3E-3</v>
      </c>
      <c r="BA149" s="5" t="s">
        <v>69</v>
      </c>
    </row>
    <row r="150" spans="43:53" x14ac:dyDescent="0.25">
      <c r="AQ150" s="6" t="s">
        <v>344</v>
      </c>
      <c r="AR150">
        <v>6.2033500000000002E-12</v>
      </c>
      <c r="AS150" s="5" t="s">
        <v>23</v>
      </c>
      <c r="AY150" s="6" t="s">
        <v>386</v>
      </c>
      <c r="AZ150">
        <v>9.5999999999999992E-3</v>
      </c>
      <c r="BA150" s="5" t="s">
        <v>23</v>
      </c>
    </row>
    <row r="151" spans="43:53" x14ac:dyDescent="0.25">
      <c r="AQ151" s="6" t="s">
        <v>345</v>
      </c>
      <c r="AR151">
        <v>1.1412E-8</v>
      </c>
      <c r="AS151" s="5" t="s">
        <v>23</v>
      </c>
      <c r="AY151" s="6" t="s">
        <v>387</v>
      </c>
      <c r="AZ151">
        <v>5.0000000000000001E-3</v>
      </c>
      <c r="BA151" s="5" t="s">
        <v>23</v>
      </c>
    </row>
    <row r="152" spans="43:53" x14ac:dyDescent="0.25">
      <c r="AQ152" s="6" t="s">
        <v>346</v>
      </c>
      <c r="AR152">
        <v>7.4427199999999997E-10</v>
      </c>
      <c r="AS152" s="5" t="s">
        <v>23</v>
      </c>
      <c r="AY152" s="6" t="s">
        <v>388</v>
      </c>
      <c r="AZ152">
        <v>5.1999999999999997E-5</v>
      </c>
      <c r="BA152" s="5" t="s">
        <v>23</v>
      </c>
    </row>
    <row r="153" spans="43:53" x14ac:dyDescent="0.25">
      <c r="AQ153" s="6" t="s">
        <v>347</v>
      </c>
      <c r="AR153">
        <v>3.9724900000000001E-8</v>
      </c>
      <c r="AS153" s="5" t="s">
        <v>23</v>
      </c>
      <c r="AY153" s="6" t="s">
        <v>389</v>
      </c>
      <c r="AZ153">
        <v>4.9799999999999997E-2</v>
      </c>
      <c r="BA153" s="5" t="s">
        <v>23</v>
      </c>
    </row>
    <row r="154" spans="43:53" x14ac:dyDescent="0.25">
      <c r="AQ154" s="6" t="s">
        <v>299</v>
      </c>
      <c r="AR154">
        <v>1.8395600000000001E-5</v>
      </c>
      <c r="AS154" s="5" t="s">
        <v>69</v>
      </c>
      <c r="AY154" s="6" t="s">
        <v>390</v>
      </c>
      <c r="AZ154">
        <v>3.2999999999999998E-8</v>
      </c>
      <c r="BA154" s="5" t="s">
        <v>23</v>
      </c>
    </row>
    <row r="155" spans="43:53" ht="15.75" thickBot="1" x14ac:dyDescent="0.3">
      <c r="AQ155" s="6" t="s">
        <v>348</v>
      </c>
      <c r="AR155">
        <v>2.4810099999999999E-11</v>
      </c>
      <c r="AS155" s="5" t="s">
        <v>23</v>
      </c>
      <c r="AY155" s="7" t="s">
        <v>391</v>
      </c>
      <c r="AZ155" s="8">
        <v>9.2799999999999994E-2</v>
      </c>
      <c r="BA155" s="9" t="s">
        <v>23</v>
      </c>
    </row>
    <row r="156" spans="43:53" x14ac:dyDescent="0.25">
      <c r="AQ156" s="6" t="s">
        <v>349</v>
      </c>
      <c r="AR156">
        <v>4.1164800000000002E-9</v>
      </c>
      <c r="AS156" s="5" t="s">
        <v>23</v>
      </c>
    </row>
    <row r="157" spans="43:53" x14ac:dyDescent="0.25">
      <c r="AQ157" s="6" t="s">
        <v>350</v>
      </c>
      <c r="AR157">
        <v>3.2560700000000001E-6</v>
      </c>
      <c r="AS157" s="5" t="s">
        <v>23</v>
      </c>
    </row>
    <row r="158" spans="43:53" x14ac:dyDescent="0.25">
      <c r="AQ158" s="6" t="s">
        <v>351</v>
      </c>
      <c r="AR158">
        <v>1.23E-7</v>
      </c>
      <c r="AS158" s="5" t="s">
        <v>23</v>
      </c>
    </row>
    <row r="159" spans="43:53" ht="15.75" thickBot="1" x14ac:dyDescent="0.3">
      <c r="AQ159" s="7" t="s">
        <v>352</v>
      </c>
      <c r="AR159" s="8">
        <v>8.6599999999999995E-8</v>
      </c>
      <c r="AS159" s="9" t="s">
        <v>23</v>
      </c>
    </row>
  </sheetData>
  <mergeCells count="95">
    <mergeCell ref="H9:L9"/>
    <mergeCell ref="H45:L45"/>
    <mergeCell ref="G6:L6"/>
    <mergeCell ref="G42:L42"/>
    <mergeCell ref="B2:C2"/>
    <mergeCell ref="B6:E6"/>
    <mergeCell ref="B7:D7"/>
    <mergeCell ref="G7:I7"/>
    <mergeCell ref="B8:D8"/>
    <mergeCell ref="G8:I8"/>
    <mergeCell ref="I46:J46"/>
    <mergeCell ref="K46:L46"/>
    <mergeCell ref="I10:J10"/>
    <mergeCell ref="K10:L10"/>
    <mergeCell ref="B43:D43"/>
    <mergeCell ref="G43:I43"/>
    <mergeCell ref="B44:D44"/>
    <mergeCell ref="G44:I44"/>
    <mergeCell ref="B46:E46"/>
    <mergeCell ref="B10:E10"/>
    <mergeCell ref="CI102:CK102"/>
    <mergeCell ref="AM114:AO114"/>
    <mergeCell ref="AQ114:AS114"/>
    <mergeCell ref="AU108:AW108"/>
    <mergeCell ref="AY121:BA121"/>
    <mergeCell ref="BC108:BE108"/>
    <mergeCell ref="BO105:BQ105"/>
    <mergeCell ref="BS106:BU106"/>
    <mergeCell ref="BW104:BY104"/>
    <mergeCell ref="CA105:CC105"/>
    <mergeCell ref="CE102:CG102"/>
    <mergeCell ref="AA104:AC104"/>
    <mergeCell ref="AE103:AG103"/>
    <mergeCell ref="AI102:AK102"/>
    <mergeCell ref="BG103:BI103"/>
    <mergeCell ref="BK102:BM102"/>
    <mergeCell ref="CI95:CK95"/>
    <mergeCell ref="CI96:CK96"/>
    <mergeCell ref="BW95:BY95"/>
    <mergeCell ref="BW96:BY96"/>
    <mergeCell ref="CA95:CC95"/>
    <mergeCell ref="CA96:CC96"/>
    <mergeCell ref="CE95:CG95"/>
    <mergeCell ref="CE96:CG96"/>
    <mergeCell ref="BK95:BM95"/>
    <mergeCell ref="BK96:BM96"/>
    <mergeCell ref="BO95:BQ95"/>
    <mergeCell ref="BO96:BQ96"/>
    <mergeCell ref="BS95:BU95"/>
    <mergeCell ref="BS96:BU96"/>
    <mergeCell ref="AY95:BA95"/>
    <mergeCell ref="AY96:BA96"/>
    <mergeCell ref="BC95:BE95"/>
    <mergeCell ref="BC96:BE96"/>
    <mergeCell ref="BG95:BI95"/>
    <mergeCell ref="BG96:BI96"/>
    <mergeCell ref="AM95:AO95"/>
    <mergeCell ref="AM96:AO96"/>
    <mergeCell ref="AQ95:AS95"/>
    <mergeCell ref="AQ96:AS96"/>
    <mergeCell ref="AU95:AW95"/>
    <mergeCell ref="AU96:AW96"/>
    <mergeCell ref="W95:Y95"/>
    <mergeCell ref="AA95:AC95"/>
    <mergeCell ref="AA96:AC96"/>
    <mergeCell ref="AE95:AG95"/>
    <mergeCell ref="AE96:AG96"/>
    <mergeCell ref="AI95:AK95"/>
    <mergeCell ref="AI96:AK96"/>
    <mergeCell ref="G118:I118"/>
    <mergeCell ref="K102:M102"/>
    <mergeCell ref="O113:Q113"/>
    <mergeCell ref="S103:U103"/>
    <mergeCell ref="W102:Y102"/>
    <mergeCell ref="W96:Y96"/>
    <mergeCell ref="G95:I95"/>
    <mergeCell ref="K95:M95"/>
    <mergeCell ref="O95:Q95"/>
    <mergeCell ref="S95:U95"/>
    <mergeCell ref="G96:I96"/>
    <mergeCell ref="K96:M96"/>
    <mergeCell ref="O96:Q96"/>
    <mergeCell ref="S96:U96"/>
    <mergeCell ref="C108:E108"/>
    <mergeCell ref="C95:E95"/>
    <mergeCell ref="C96:E96"/>
    <mergeCell ref="B71:C71"/>
    <mergeCell ref="B70:F70"/>
    <mergeCell ref="B55:E55"/>
    <mergeCell ref="B42:E42"/>
    <mergeCell ref="B48:B51"/>
    <mergeCell ref="B52:B53"/>
    <mergeCell ref="B12:B26"/>
    <mergeCell ref="B27:B28"/>
    <mergeCell ref="B30:E3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C155-9779-4FC4-8302-ACB428CDBBF5}">
  <dimension ref="B2:O109"/>
  <sheetViews>
    <sheetView workbookViewId="0">
      <selection activeCell="E6" sqref="E6"/>
    </sheetView>
  </sheetViews>
  <sheetFormatPr defaultRowHeight="15" x14ac:dyDescent="0.25"/>
  <cols>
    <col min="2" max="2" width="11.85546875" customWidth="1"/>
    <col min="3" max="3" width="16.140625" customWidth="1"/>
    <col min="5" max="5" width="10.5703125" customWidth="1"/>
    <col min="7" max="7" width="36.85546875" customWidth="1"/>
    <col min="8" max="8" width="12.42578125" customWidth="1"/>
    <col min="9" max="9" width="12.28515625" customWidth="1"/>
    <col min="10" max="10" width="37.5703125" customWidth="1"/>
  </cols>
  <sheetData>
    <row r="2" spans="2:15" x14ac:dyDescent="0.25">
      <c r="B2" s="85" t="s">
        <v>2</v>
      </c>
      <c r="C2" s="85"/>
      <c r="D2" s="85" t="s">
        <v>506</v>
      </c>
      <c r="E2" s="1" t="s">
        <v>503</v>
      </c>
    </row>
    <row r="3" spans="2:15" x14ac:dyDescent="0.25">
      <c r="B3" s="17"/>
      <c r="C3" s="17"/>
      <c r="D3" s="85"/>
      <c r="E3" s="1" t="s">
        <v>508</v>
      </c>
    </row>
    <row r="4" spans="2:15" x14ac:dyDescent="0.25">
      <c r="D4" s="85" t="s">
        <v>507</v>
      </c>
      <c r="E4" s="1" t="s">
        <v>503</v>
      </c>
    </row>
    <row r="5" spans="2:15" x14ac:dyDescent="0.25">
      <c r="D5" s="85"/>
      <c r="E5" s="1" t="s">
        <v>509</v>
      </c>
    </row>
    <row r="6" spans="2:15" x14ac:dyDescent="0.25">
      <c r="D6" t="s">
        <v>505</v>
      </c>
      <c r="E6" s="1" t="s">
        <v>504</v>
      </c>
    </row>
    <row r="7" spans="2:15" ht="15.75" thickBot="1" x14ac:dyDescent="0.3"/>
    <row r="8" spans="2:15" x14ac:dyDescent="0.25">
      <c r="B8" s="86" t="s">
        <v>0</v>
      </c>
      <c r="C8" s="87"/>
      <c r="D8" s="87"/>
      <c r="E8" s="88"/>
      <c r="G8" s="86" t="s">
        <v>16</v>
      </c>
      <c r="H8" s="87"/>
      <c r="I8" s="87"/>
      <c r="J8" s="88"/>
    </row>
    <row r="9" spans="2:15" x14ac:dyDescent="0.25">
      <c r="B9" s="74" t="s">
        <v>6</v>
      </c>
      <c r="C9" s="75"/>
      <c r="D9" s="75"/>
      <c r="E9" s="48" t="s">
        <v>520</v>
      </c>
      <c r="G9" s="74" t="s">
        <v>36</v>
      </c>
      <c r="H9" s="75"/>
      <c r="I9" s="75"/>
      <c r="J9" s="5">
        <v>1</v>
      </c>
    </row>
    <row r="10" spans="2:15" x14ac:dyDescent="0.25">
      <c r="B10" s="74" t="s">
        <v>5</v>
      </c>
      <c r="C10" s="75"/>
      <c r="D10" s="75"/>
      <c r="E10" s="5" t="s">
        <v>8</v>
      </c>
      <c r="G10" s="74" t="s">
        <v>5</v>
      </c>
      <c r="H10" s="75"/>
      <c r="I10" s="75"/>
      <c r="J10" s="5" t="s">
        <v>8</v>
      </c>
    </row>
    <row r="11" spans="2:15" x14ac:dyDescent="0.25">
      <c r="B11" s="20"/>
      <c r="C11" s="21"/>
      <c r="D11" s="21"/>
      <c r="E11" s="12"/>
      <c r="G11" s="74" t="s">
        <v>71</v>
      </c>
      <c r="H11" s="75"/>
      <c r="I11" s="75"/>
      <c r="J11" s="5" t="s">
        <v>86</v>
      </c>
    </row>
    <row r="12" spans="2:15" x14ac:dyDescent="0.25">
      <c r="B12" s="76" t="s">
        <v>7</v>
      </c>
      <c r="C12" s="77"/>
      <c r="D12" s="77"/>
      <c r="E12" s="78"/>
      <c r="G12" s="74" t="s">
        <v>19</v>
      </c>
      <c r="H12" s="75"/>
      <c r="I12" s="75"/>
      <c r="J12" s="5" t="s">
        <v>21</v>
      </c>
    </row>
    <row r="13" spans="2:15" x14ac:dyDescent="0.25">
      <c r="B13" s="6" t="s">
        <v>9</v>
      </c>
      <c r="C13" t="s">
        <v>10</v>
      </c>
      <c r="D13" t="s">
        <v>11</v>
      </c>
      <c r="E13" s="5" t="s">
        <v>12</v>
      </c>
      <c r="G13" s="10" t="s">
        <v>17</v>
      </c>
      <c r="H13" s="11" t="s">
        <v>12</v>
      </c>
      <c r="I13" s="11" t="s">
        <v>18</v>
      </c>
      <c r="J13" s="12" t="s">
        <v>37</v>
      </c>
    </row>
    <row r="14" spans="2:15" x14ac:dyDescent="0.25">
      <c r="B14" s="107" t="s">
        <v>519</v>
      </c>
      <c r="C14" t="s">
        <v>511</v>
      </c>
      <c r="D14" s="13">
        <v>2.7E-2</v>
      </c>
      <c r="E14" s="5" t="s">
        <v>23</v>
      </c>
      <c r="G14" s="6" t="s">
        <v>39</v>
      </c>
      <c r="H14" t="s">
        <v>40</v>
      </c>
      <c r="I14">
        <v>593.61167999999998</v>
      </c>
      <c r="J14" s="5">
        <f t="shared" ref="J14:J31" si="0">I14/$J$9</f>
        <v>593.61167999999998</v>
      </c>
      <c r="N14" s="13"/>
      <c r="O14" s="13"/>
    </row>
    <row r="15" spans="2:15" x14ac:dyDescent="0.25">
      <c r="B15" s="107"/>
      <c r="C15" t="s">
        <v>512</v>
      </c>
      <c r="D15">
        <v>8.9999999999999993E-3</v>
      </c>
      <c r="E15" s="5" t="s">
        <v>23</v>
      </c>
      <c r="G15" s="6" t="s">
        <v>41</v>
      </c>
      <c r="H15" t="s">
        <v>42</v>
      </c>
      <c r="I15">
        <v>2.4327247000000001E-3</v>
      </c>
      <c r="J15" s="5">
        <f t="shared" si="0"/>
        <v>2.4327247000000001E-3</v>
      </c>
      <c r="O15" s="13"/>
    </row>
    <row r="16" spans="2:15" x14ac:dyDescent="0.25">
      <c r="B16" s="107"/>
      <c r="C16" t="s">
        <v>513</v>
      </c>
      <c r="D16">
        <v>4.4999999999999997E-3</v>
      </c>
      <c r="E16" s="5" t="s">
        <v>23</v>
      </c>
      <c r="G16" s="6" t="s">
        <v>43</v>
      </c>
      <c r="H16" t="s">
        <v>44</v>
      </c>
      <c r="I16">
        <v>37.654046000000001</v>
      </c>
      <c r="J16" s="5">
        <f t="shared" si="0"/>
        <v>37.654046000000001</v>
      </c>
      <c r="O16" s="13"/>
    </row>
    <row r="17" spans="2:15" x14ac:dyDescent="0.25">
      <c r="B17" s="107"/>
      <c r="C17" t="s">
        <v>514</v>
      </c>
      <c r="D17" s="13">
        <v>7.4999999999999993E-5</v>
      </c>
      <c r="E17" s="5" t="s">
        <v>23</v>
      </c>
      <c r="G17" s="6" t="s">
        <v>45</v>
      </c>
      <c r="H17" t="s">
        <v>46</v>
      </c>
      <c r="I17">
        <v>4.6563591999999998</v>
      </c>
      <c r="J17" s="5">
        <f t="shared" si="0"/>
        <v>4.6563591999999998</v>
      </c>
      <c r="N17" s="13"/>
      <c r="O17" s="13"/>
    </row>
    <row r="18" spans="2:15" x14ac:dyDescent="0.25">
      <c r="B18" s="107"/>
      <c r="C18" t="s">
        <v>515</v>
      </c>
      <c r="D18" s="13">
        <v>0.1</v>
      </c>
      <c r="E18" s="5" t="s">
        <v>23</v>
      </c>
      <c r="G18" s="6" t="s">
        <v>47</v>
      </c>
      <c r="H18" t="s">
        <v>48</v>
      </c>
      <c r="I18">
        <v>8.6621159999999993</v>
      </c>
      <c r="J18" s="5">
        <f t="shared" si="0"/>
        <v>8.6621159999999993</v>
      </c>
      <c r="N18" s="13"/>
      <c r="O18" s="13"/>
    </row>
    <row r="19" spans="2:15" x14ac:dyDescent="0.25">
      <c r="B19" s="107"/>
      <c r="C19" t="s">
        <v>105</v>
      </c>
      <c r="D19">
        <v>2.8E-3</v>
      </c>
      <c r="E19" s="5" t="s">
        <v>23</v>
      </c>
      <c r="G19" s="6" t="s">
        <v>49</v>
      </c>
      <c r="H19" t="s">
        <v>46</v>
      </c>
      <c r="I19">
        <v>4.7844490000000004</v>
      </c>
      <c r="J19" s="5">
        <f t="shared" si="0"/>
        <v>4.7844490000000004</v>
      </c>
      <c r="O19" s="13"/>
    </row>
    <row r="20" spans="2:15" x14ac:dyDescent="0.25">
      <c r="B20" s="107"/>
      <c r="C20" t="s">
        <v>516</v>
      </c>
      <c r="D20" s="13">
        <v>1.32E-2</v>
      </c>
      <c r="E20" s="5" t="s">
        <v>23</v>
      </c>
      <c r="G20" s="6" t="s">
        <v>50</v>
      </c>
      <c r="H20" t="s">
        <v>51</v>
      </c>
      <c r="I20">
        <v>29.434808</v>
      </c>
      <c r="J20" s="5">
        <f t="shared" si="0"/>
        <v>29.434808</v>
      </c>
      <c r="N20" s="13"/>
      <c r="O20" s="13"/>
    </row>
    <row r="21" spans="2:15" x14ac:dyDescent="0.25">
      <c r="B21" s="107"/>
      <c r="C21" t="s">
        <v>517</v>
      </c>
      <c r="D21" s="13">
        <v>0.53800000000000003</v>
      </c>
      <c r="E21" s="5" t="s">
        <v>23</v>
      </c>
      <c r="G21" s="6" t="s">
        <v>52</v>
      </c>
      <c r="H21" t="s">
        <v>53</v>
      </c>
      <c r="I21">
        <v>0.68062164999999997</v>
      </c>
      <c r="J21" s="5">
        <f t="shared" si="0"/>
        <v>0.68062164999999997</v>
      </c>
      <c r="N21" s="13"/>
      <c r="O21" s="13"/>
    </row>
    <row r="22" spans="2:15" x14ac:dyDescent="0.25">
      <c r="B22" s="107"/>
      <c r="C22" t="s">
        <v>518</v>
      </c>
      <c r="D22" s="13">
        <v>7.5000000000000002E-4</v>
      </c>
      <c r="E22" s="5" t="s">
        <v>23</v>
      </c>
      <c r="G22" s="6" t="s">
        <v>54</v>
      </c>
      <c r="H22" t="s">
        <v>55</v>
      </c>
      <c r="I22">
        <v>2.7470034000000001E-2</v>
      </c>
      <c r="J22" s="5">
        <f t="shared" si="0"/>
        <v>2.7470034000000001E-2</v>
      </c>
      <c r="N22" s="13"/>
      <c r="O22" s="13"/>
    </row>
    <row r="23" spans="2:15" x14ac:dyDescent="0.25">
      <c r="B23" s="107" t="s">
        <v>525</v>
      </c>
      <c r="C23" t="s">
        <v>511</v>
      </c>
      <c r="D23" s="13">
        <v>0.1</v>
      </c>
      <c r="E23" s="5" t="s">
        <v>23</v>
      </c>
      <c r="G23" s="6" t="s">
        <v>56</v>
      </c>
      <c r="H23" t="s">
        <v>57</v>
      </c>
      <c r="I23">
        <v>2615.9693000000002</v>
      </c>
      <c r="J23" s="5">
        <f t="shared" si="0"/>
        <v>2615.9693000000002</v>
      </c>
    </row>
    <row r="24" spans="2:15" x14ac:dyDescent="0.25">
      <c r="B24" s="107"/>
      <c r="C24" t="s">
        <v>521</v>
      </c>
      <c r="D24" s="13">
        <v>0.2</v>
      </c>
      <c r="E24" s="5" t="s">
        <v>23</v>
      </c>
      <c r="G24" s="6" t="s">
        <v>58</v>
      </c>
      <c r="H24" t="s">
        <v>57</v>
      </c>
      <c r="I24">
        <v>234.16899000000001</v>
      </c>
      <c r="J24" s="5">
        <f t="shared" si="0"/>
        <v>234.16899000000001</v>
      </c>
      <c r="N24" s="13"/>
      <c r="O24" s="13"/>
    </row>
    <row r="25" spans="2:15" x14ac:dyDescent="0.25">
      <c r="B25" s="107"/>
      <c r="C25" t="s">
        <v>522</v>
      </c>
      <c r="D25">
        <v>2.33E-3</v>
      </c>
      <c r="E25" s="5" t="s">
        <v>69</v>
      </c>
      <c r="G25" s="6" t="s">
        <v>59</v>
      </c>
      <c r="H25" t="s">
        <v>57</v>
      </c>
      <c r="I25">
        <v>298.02913000000001</v>
      </c>
      <c r="J25" s="5">
        <f t="shared" si="0"/>
        <v>298.02913000000001</v>
      </c>
      <c r="N25" s="13"/>
      <c r="O25" s="13"/>
    </row>
    <row r="26" spans="2:15" x14ac:dyDescent="0.25">
      <c r="B26" s="107"/>
      <c r="C26" t="s">
        <v>513</v>
      </c>
      <c r="D26" s="13">
        <v>0.1</v>
      </c>
      <c r="E26" s="5" t="s">
        <v>23</v>
      </c>
      <c r="G26" s="6" t="s">
        <v>60</v>
      </c>
      <c r="H26" t="s">
        <v>57</v>
      </c>
      <c r="I26">
        <v>303.94495999999998</v>
      </c>
      <c r="J26" s="5">
        <f t="shared" si="0"/>
        <v>303.94495999999998</v>
      </c>
      <c r="O26" s="13"/>
    </row>
    <row r="27" spans="2:15" x14ac:dyDescent="0.25">
      <c r="B27" s="107"/>
      <c r="C27" t="s">
        <v>523</v>
      </c>
      <c r="D27" s="13">
        <v>0.1</v>
      </c>
      <c r="E27" s="5" t="s">
        <v>23</v>
      </c>
      <c r="G27" s="6" t="s">
        <v>61</v>
      </c>
      <c r="H27" t="s">
        <v>57</v>
      </c>
      <c r="I27">
        <v>7704.3053</v>
      </c>
      <c r="J27" s="5">
        <f t="shared" si="0"/>
        <v>7704.3053</v>
      </c>
      <c r="N27" s="13"/>
      <c r="O27" s="13"/>
    </row>
    <row r="28" spans="2:15" x14ac:dyDescent="0.25">
      <c r="B28" s="107"/>
      <c r="C28" t="s">
        <v>524</v>
      </c>
      <c r="D28" s="13">
        <v>0.3</v>
      </c>
      <c r="E28" s="5" t="s">
        <v>23</v>
      </c>
      <c r="G28" s="6" t="s">
        <v>62</v>
      </c>
      <c r="H28" t="s">
        <v>63</v>
      </c>
      <c r="I28">
        <v>169.55998</v>
      </c>
      <c r="J28" s="5">
        <f t="shared" si="0"/>
        <v>169.55998</v>
      </c>
      <c r="N28" s="13"/>
      <c r="O28" s="13"/>
    </row>
    <row r="29" spans="2:15" x14ac:dyDescent="0.25">
      <c r="B29" s="107"/>
      <c r="C29" t="s">
        <v>82</v>
      </c>
      <c r="D29" s="13">
        <v>1.9</v>
      </c>
      <c r="E29" s="5" t="s">
        <v>23</v>
      </c>
      <c r="G29" s="6" t="s">
        <v>64</v>
      </c>
      <c r="H29" t="s">
        <v>65</v>
      </c>
      <c r="I29">
        <v>54.116097000000003</v>
      </c>
      <c r="J29" s="5">
        <f t="shared" si="0"/>
        <v>54.116097000000003</v>
      </c>
      <c r="N29" s="13"/>
      <c r="O29" s="13"/>
    </row>
    <row r="30" spans="2:15" x14ac:dyDescent="0.25">
      <c r="B30" s="107"/>
      <c r="C30" t="s">
        <v>80</v>
      </c>
      <c r="D30" s="13">
        <v>4.8</v>
      </c>
      <c r="E30" s="5" t="s">
        <v>23</v>
      </c>
      <c r="G30" s="6" t="s">
        <v>66</v>
      </c>
      <c r="H30" t="s">
        <v>67</v>
      </c>
      <c r="I30">
        <v>153.19120000000001</v>
      </c>
      <c r="J30" s="5">
        <f t="shared" si="0"/>
        <v>153.19120000000001</v>
      </c>
      <c r="N30" s="13"/>
      <c r="O30" s="13"/>
    </row>
    <row r="31" spans="2:15" ht="15.75" thickBot="1" x14ac:dyDescent="0.3">
      <c r="B31" s="107"/>
      <c r="C31" t="s">
        <v>526</v>
      </c>
      <c r="D31" s="13">
        <v>0.29699999999999999</v>
      </c>
      <c r="E31" s="5" t="s">
        <v>527</v>
      </c>
      <c r="G31" s="7" t="s">
        <v>68</v>
      </c>
      <c r="H31" s="8" t="s">
        <v>69</v>
      </c>
      <c r="I31" s="8">
        <v>4.1743728999999998</v>
      </c>
      <c r="J31" s="9">
        <f t="shared" si="0"/>
        <v>4.1743728999999998</v>
      </c>
      <c r="N31" s="13"/>
      <c r="O31" s="13"/>
    </row>
    <row r="32" spans="2:15" x14ac:dyDescent="0.25">
      <c r="B32" s="107"/>
      <c r="C32" t="s">
        <v>528</v>
      </c>
      <c r="D32" s="13">
        <v>1.49E-2</v>
      </c>
      <c r="E32" s="5" t="s">
        <v>28</v>
      </c>
      <c r="N32" s="13"/>
      <c r="O32" s="13"/>
    </row>
    <row r="33" spans="2:15" x14ac:dyDescent="0.25">
      <c r="B33" s="107"/>
      <c r="C33" t="s">
        <v>529</v>
      </c>
      <c r="D33" s="13">
        <v>1.49E-2</v>
      </c>
      <c r="E33" s="5" t="s">
        <v>28</v>
      </c>
      <c r="N33" s="13"/>
      <c r="O33" s="13"/>
    </row>
    <row r="34" spans="2:15" x14ac:dyDescent="0.25">
      <c r="B34" s="107"/>
      <c r="C34" t="s">
        <v>530</v>
      </c>
      <c r="D34" s="13">
        <v>2E-3</v>
      </c>
      <c r="E34" s="5" t="s">
        <v>171</v>
      </c>
      <c r="N34" s="13"/>
      <c r="O34" s="13"/>
    </row>
    <row r="35" spans="2:15" x14ac:dyDescent="0.25">
      <c r="B35" s="107" t="s">
        <v>505</v>
      </c>
      <c r="C35" t="s">
        <v>531</v>
      </c>
      <c r="D35" s="13">
        <v>6.2199999999999998E-2</v>
      </c>
      <c r="E35" s="5" t="s">
        <v>195</v>
      </c>
      <c r="N35" s="13"/>
      <c r="O35" s="13"/>
    </row>
    <row r="36" spans="2:15" x14ac:dyDescent="0.25">
      <c r="B36" s="107"/>
      <c r="C36" t="s">
        <v>532</v>
      </c>
      <c r="D36" s="13">
        <v>0.19400000000000001</v>
      </c>
      <c r="E36" s="5" t="s">
        <v>23</v>
      </c>
      <c r="N36" s="13"/>
      <c r="O36" s="13"/>
    </row>
    <row r="37" spans="2:15" x14ac:dyDescent="0.25">
      <c r="B37" s="107"/>
      <c r="C37" t="s">
        <v>533</v>
      </c>
      <c r="D37" s="13">
        <v>3.8399999999999997E-2</v>
      </c>
      <c r="E37" s="5" t="s">
        <v>195</v>
      </c>
      <c r="N37" s="13"/>
      <c r="O37" s="13"/>
    </row>
    <row r="38" spans="2:15" x14ac:dyDescent="0.25">
      <c r="B38" s="107"/>
      <c r="C38" t="s">
        <v>534</v>
      </c>
      <c r="D38" s="13">
        <v>0.14599999999999999</v>
      </c>
      <c r="E38" s="5" t="s">
        <v>23</v>
      </c>
      <c r="N38" s="13"/>
      <c r="O38" s="13"/>
    </row>
    <row r="39" spans="2:15" x14ac:dyDescent="0.25">
      <c r="B39" s="107"/>
      <c r="C39" t="s">
        <v>535</v>
      </c>
      <c r="D39" s="13">
        <v>8.2799999999999999E-2</v>
      </c>
      <c r="E39" s="5" t="s">
        <v>23</v>
      </c>
      <c r="N39" s="13"/>
      <c r="O39" s="13"/>
    </row>
    <row r="40" spans="2:15" x14ac:dyDescent="0.25">
      <c r="B40" s="107"/>
      <c r="C40" t="s">
        <v>536</v>
      </c>
      <c r="D40" s="13">
        <v>0.26600000000000001</v>
      </c>
      <c r="E40" s="5" t="s">
        <v>23</v>
      </c>
      <c r="N40" s="13"/>
      <c r="O40" s="13"/>
    </row>
    <row r="41" spans="2:15" x14ac:dyDescent="0.25">
      <c r="B41" s="107"/>
      <c r="C41" t="s">
        <v>516</v>
      </c>
      <c r="D41" s="13">
        <v>0.112</v>
      </c>
      <c r="E41" s="5" t="s">
        <v>23</v>
      </c>
      <c r="N41" s="13"/>
      <c r="O41" s="13"/>
    </row>
    <row r="42" spans="2:15" x14ac:dyDescent="0.25">
      <c r="B42" s="107"/>
      <c r="C42" t="s">
        <v>537</v>
      </c>
      <c r="D42" s="13">
        <v>0.14599999999999999</v>
      </c>
      <c r="E42" s="5" t="s">
        <v>23</v>
      </c>
      <c r="N42" s="13"/>
      <c r="O42" s="13"/>
    </row>
    <row r="43" spans="2:15" x14ac:dyDescent="0.25">
      <c r="B43" s="107"/>
      <c r="C43" t="s">
        <v>524</v>
      </c>
      <c r="D43" s="13">
        <v>1.2700000000000001E-3</v>
      </c>
      <c r="E43" s="5" t="s">
        <v>23</v>
      </c>
      <c r="N43" s="13"/>
      <c r="O43" s="13"/>
    </row>
    <row r="44" spans="2:15" x14ac:dyDescent="0.25">
      <c r="B44" s="107"/>
      <c r="C44" t="s">
        <v>538</v>
      </c>
      <c r="D44" s="13">
        <v>2.7000000000000001E-3</v>
      </c>
      <c r="E44" s="5" t="s">
        <v>23</v>
      </c>
      <c r="N44" s="13"/>
      <c r="O44" s="13"/>
    </row>
    <row r="45" spans="2:15" x14ac:dyDescent="0.25">
      <c r="B45" s="107"/>
      <c r="C45" t="s">
        <v>531</v>
      </c>
      <c r="D45" s="13">
        <v>46.7</v>
      </c>
      <c r="E45" s="5" t="s">
        <v>195</v>
      </c>
      <c r="N45" s="13"/>
      <c r="O45" s="13"/>
    </row>
    <row r="46" spans="2:15" x14ac:dyDescent="0.25">
      <c r="B46" s="107"/>
      <c r="C46" t="s">
        <v>533</v>
      </c>
      <c r="D46" s="13">
        <v>0.248</v>
      </c>
      <c r="E46" s="5" t="s">
        <v>27</v>
      </c>
      <c r="N46" s="13"/>
      <c r="O46" s="13"/>
    </row>
    <row r="47" spans="2:15" x14ac:dyDescent="0.25">
      <c r="B47" s="107"/>
      <c r="C47" t="s">
        <v>514</v>
      </c>
      <c r="D47" s="13">
        <v>5.1000000000000004E-3</v>
      </c>
      <c r="E47" s="5" t="s">
        <v>23</v>
      </c>
      <c r="N47" s="13"/>
      <c r="O47" s="13"/>
    </row>
    <row r="48" spans="2:15" x14ac:dyDescent="0.25">
      <c r="B48" s="107"/>
      <c r="C48" t="s">
        <v>488</v>
      </c>
      <c r="D48" s="13">
        <v>1.5900000000000001E-2</v>
      </c>
      <c r="E48" s="5" t="s">
        <v>23</v>
      </c>
      <c r="N48" s="13"/>
      <c r="O48" s="13"/>
    </row>
    <row r="49" spans="2:15" x14ac:dyDescent="0.25">
      <c r="B49" s="107"/>
      <c r="C49" t="s">
        <v>539</v>
      </c>
      <c r="D49" s="13">
        <v>6.97</v>
      </c>
      <c r="E49" s="5" t="s">
        <v>23</v>
      </c>
      <c r="N49" s="13"/>
      <c r="O49" s="13"/>
    </row>
    <row r="50" spans="2:15" x14ac:dyDescent="0.25">
      <c r="B50" s="107"/>
      <c r="C50" t="s">
        <v>540</v>
      </c>
      <c r="D50" s="13">
        <v>7.19</v>
      </c>
      <c r="E50" s="5" t="s">
        <v>23</v>
      </c>
      <c r="N50" s="13"/>
      <c r="O50" s="13"/>
    </row>
    <row r="51" spans="2:15" x14ac:dyDescent="0.25">
      <c r="B51" s="107"/>
      <c r="C51" t="s">
        <v>541</v>
      </c>
      <c r="D51" s="13">
        <v>6.97</v>
      </c>
      <c r="E51" s="5" t="s">
        <v>23</v>
      </c>
      <c r="N51" s="13"/>
      <c r="O51" s="13"/>
    </row>
    <row r="52" spans="2:15" x14ac:dyDescent="0.25">
      <c r="B52" s="107"/>
      <c r="C52" t="s">
        <v>542</v>
      </c>
      <c r="D52" s="13">
        <v>1.04E-2</v>
      </c>
      <c r="E52" s="5" t="s">
        <v>23</v>
      </c>
      <c r="N52" s="13"/>
      <c r="O52" s="13"/>
    </row>
    <row r="53" spans="2:15" x14ac:dyDescent="0.25">
      <c r="B53" s="107"/>
      <c r="C53" t="s">
        <v>543</v>
      </c>
      <c r="D53" s="13">
        <v>6.7099999999999998E-3</v>
      </c>
      <c r="E53" s="5" t="s">
        <v>23</v>
      </c>
      <c r="N53" s="13"/>
      <c r="O53" s="13"/>
    </row>
    <row r="54" spans="2:15" x14ac:dyDescent="0.25">
      <c r="B54" s="107"/>
      <c r="C54" t="s">
        <v>537</v>
      </c>
      <c r="D54" s="13">
        <v>9.74E-2</v>
      </c>
      <c r="E54" s="5" t="s">
        <v>23</v>
      </c>
      <c r="N54" s="13"/>
      <c r="O54" s="13"/>
    </row>
    <row r="55" spans="2:15" x14ac:dyDescent="0.25">
      <c r="B55" s="107"/>
      <c r="C55" t="s">
        <v>544</v>
      </c>
      <c r="D55" s="13">
        <v>8.6800000000000002E-2</v>
      </c>
      <c r="E55" s="5" t="s">
        <v>23</v>
      </c>
      <c r="N55" s="13"/>
      <c r="O55" s="13"/>
    </row>
    <row r="56" spans="2:15" x14ac:dyDescent="0.25">
      <c r="B56" s="107"/>
      <c r="C56" t="s">
        <v>545</v>
      </c>
      <c r="D56" s="13">
        <v>4.9299999999999997E-2</v>
      </c>
      <c r="E56" s="5" t="s">
        <v>23</v>
      </c>
      <c r="N56" s="13"/>
      <c r="O56" s="13"/>
    </row>
    <row r="57" spans="2:15" x14ac:dyDescent="0.25">
      <c r="B57" s="107"/>
      <c r="C57" t="s">
        <v>536</v>
      </c>
      <c r="D57" s="13">
        <v>0.159</v>
      </c>
      <c r="E57" s="5" t="s">
        <v>23</v>
      </c>
      <c r="N57" s="13"/>
      <c r="O57" s="13"/>
    </row>
    <row r="58" spans="2:15" x14ac:dyDescent="0.25">
      <c r="B58" s="107"/>
      <c r="C58" t="s">
        <v>516</v>
      </c>
      <c r="D58" s="13">
        <v>0.34100000000000003</v>
      </c>
      <c r="E58" s="5" t="s">
        <v>23</v>
      </c>
      <c r="N58" s="13"/>
      <c r="O58" s="13"/>
    </row>
    <row r="59" spans="2:15" x14ac:dyDescent="0.25">
      <c r="B59" s="107"/>
      <c r="C59" t="s">
        <v>532</v>
      </c>
      <c r="D59" s="13">
        <v>2.46</v>
      </c>
      <c r="E59" s="5" t="s">
        <v>23</v>
      </c>
      <c r="N59" s="13"/>
      <c r="O59" s="13"/>
    </row>
    <row r="60" spans="2:15" x14ac:dyDescent="0.25">
      <c r="B60" s="107"/>
      <c r="C60" t="s">
        <v>546</v>
      </c>
      <c r="D60" s="13">
        <v>1.99</v>
      </c>
      <c r="E60" s="5" t="s">
        <v>23</v>
      </c>
      <c r="N60" s="13"/>
      <c r="O60" s="13"/>
    </row>
    <row r="61" spans="2:15" x14ac:dyDescent="0.25">
      <c r="B61" s="107"/>
      <c r="C61" t="s">
        <v>547</v>
      </c>
      <c r="D61" s="13">
        <v>2.34</v>
      </c>
      <c r="E61" s="5" t="s">
        <v>23</v>
      </c>
      <c r="N61" s="13"/>
      <c r="O61" s="13"/>
    </row>
    <row r="62" spans="2:15" x14ac:dyDescent="0.25">
      <c r="B62" s="107"/>
      <c r="C62" t="s">
        <v>548</v>
      </c>
      <c r="D62" s="13">
        <v>1.4999999999999999E-4</v>
      </c>
      <c r="E62" s="5" t="s">
        <v>23</v>
      </c>
      <c r="N62" s="13"/>
      <c r="O62" s="13"/>
    </row>
    <row r="63" spans="2:15" x14ac:dyDescent="0.25">
      <c r="B63" s="107"/>
      <c r="C63" t="s">
        <v>549</v>
      </c>
      <c r="D63" s="13">
        <v>2.01E-2</v>
      </c>
      <c r="E63" s="5" t="s">
        <v>23</v>
      </c>
      <c r="N63" s="13"/>
      <c r="O63" s="13"/>
    </row>
    <row r="64" spans="2:15" x14ac:dyDescent="0.25">
      <c r="B64" s="107"/>
      <c r="C64" t="s">
        <v>550</v>
      </c>
      <c r="D64" s="13">
        <v>0.222</v>
      </c>
      <c r="E64" s="5" t="s">
        <v>23</v>
      </c>
      <c r="N64" s="13"/>
      <c r="O64" s="13"/>
    </row>
    <row r="65" spans="2:15" x14ac:dyDescent="0.25">
      <c r="B65" s="107"/>
      <c r="C65" t="s">
        <v>142</v>
      </c>
      <c r="D65" s="13">
        <v>0.222</v>
      </c>
      <c r="E65" s="5" t="s">
        <v>23</v>
      </c>
      <c r="N65" s="13"/>
      <c r="O65" s="13"/>
    </row>
    <row r="66" spans="2:15" x14ac:dyDescent="0.25">
      <c r="B66" s="107"/>
      <c r="C66" t="s">
        <v>80</v>
      </c>
      <c r="D66" s="13">
        <v>0.499</v>
      </c>
      <c r="E66" s="5" t="s">
        <v>23</v>
      </c>
      <c r="N66" s="13"/>
      <c r="O66" s="13"/>
    </row>
    <row r="67" spans="2:15" x14ac:dyDescent="0.25">
      <c r="B67" s="107"/>
      <c r="C67" t="s">
        <v>551</v>
      </c>
      <c r="D67" s="13">
        <v>0.499</v>
      </c>
      <c r="E67" s="5" t="s">
        <v>23</v>
      </c>
      <c r="N67" s="13"/>
      <c r="O67" s="13"/>
    </row>
    <row r="68" spans="2:15" x14ac:dyDescent="0.25">
      <c r="B68" s="107"/>
      <c r="C68" t="s">
        <v>552</v>
      </c>
      <c r="D68" s="13">
        <v>3.86</v>
      </c>
      <c r="E68" s="5" t="s">
        <v>23</v>
      </c>
      <c r="N68" s="13"/>
      <c r="O68" s="13"/>
    </row>
    <row r="69" spans="2:15" x14ac:dyDescent="0.25">
      <c r="B69" s="107"/>
      <c r="C69" t="s">
        <v>553</v>
      </c>
      <c r="D69" s="13">
        <v>5.6799999999999998E-5</v>
      </c>
      <c r="E69" s="5" t="s">
        <v>28</v>
      </c>
      <c r="N69" s="13"/>
      <c r="O69" s="13"/>
    </row>
    <row r="70" spans="2:15" x14ac:dyDescent="0.25">
      <c r="B70" s="108"/>
      <c r="C70" s="2" t="s">
        <v>554</v>
      </c>
      <c r="D70" s="49">
        <v>3.86</v>
      </c>
      <c r="E70" s="14" t="s">
        <v>23</v>
      </c>
      <c r="N70" s="13"/>
      <c r="O70" s="13"/>
    </row>
    <row r="71" spans="2:15" x14ac:dyDescent="0.25">
      <c r="B71" s="42"/>
      <c r="D71" s="13"/>
      <c r="E71" s="5"/>
      <c r="N71" s="13"/>
      <c r="O71" s="13"/>
    </row>
    <row r="72" spans="2:15" x14ac:dyDescent="0.25">
      <c r="B72" s="76" t="s">
        <v>13</v>
      </c>
      <c r="C72" s="77"/>
      <c r="D72" s="77"/>
      <c r="E72" s="78"/>
      <c r="N72" s="13"/>
      <c r="O72" s="13"/>
    </row>
    <row r="73" spans="2:15" x14ac:dyDescent="0.25">
      <c r="B73" s="42"/>
      <c r="D73" s="13"/>
      <c r="E73" s="5"/>
      <c r="N73" s="13"/>
      <c r="O73" s="13"/>
    </row>
    <row r="74" spans="2:15" x14ac:dyDescent="0.25">
      <c r="B74" s="42"/>
      <c r="D74" s="13"/>
      <c r="E74" s="5"/>
      <c r="N74" s="13"/>
      <c r="O74" s="13"/>
    </row>
    <row r="75" spans="2:15" x14ac:dyDescent="0.25">
      <c r="B75" s="42"/>
      <c r="D75" s="13"/>
      <c r="E75" s="5"/>
      <c r="N75" s="13"/>
      <c r="O75" s="13"/>
    </row>
    <row r="76" spans="2:15" x14ac:dyDescent="0.25">
      <c r="B76" s="42"/>
      <c r="D76" s="13"/>
      <c r="E76" s="5"/>
      <c r="N76" s="13"/>
      <c r="O76" s="13"/>
    </row>
    <row r="77" spans="2:15" x14ac:dyDescent="0.25">
      <c r="B77" s="6"/>
      <c r="E77" s="5"/>
    </row>
    <row r="78" spans="2:15" x14ac:dyDescent="0.25">
      <c r="B78" s="6"/>
      <c r="E78" s="5"/>
    </row>
    <row r="79" spans="2:15" x14ac:dyDescent="0.25">
      <c r="B79" s="6"/>
      <c r="E79" s="5"/>
    </row>
    <row r="80" spans="2:15" ht="15.75" thickBot="1" x14ac:dyDescent="0.3">
      <c r="B80" s="7"/>
      <c r="C80" s="8"/>
      <c r="D80" s="8"/>
      <c r="E80" s="9"/>
    </row>
    <row r="82" spans="2:10" ht="15.75" thickBot="1" x14ac:dyDescent="0.3"/>
    <row r="83" spans="2:10" x14ac:dyDescent="0.25">
      <c r="B83" s="79" t="s">
        <v>1</v>
      </c>
      <c r="C83" s="80"/>
      <c r="D83" s="80"/>
      <c r="E83" s="81"/>
      <c r="G83" s="79" t="s">
        <v>70</v>
      </c>
      <c r="H83" s="80"/>
      <c r="I83" s="80"/>
      <c r="J83" s="81"/>
    </row>
    <row r="84" spans="2:10" x14ac:dyDescent="0.25">
      <c r="B84" s="74" t="s">
        <v>14</v>
      </c>
      <c r="C84" s="75"/>
      <c r="D84" s="75"/>
      <c r="E84" s="5" t="s">
        <v>555</v>
      </c>
      <c r="G84" s="74" t="s">
        <v>38</v>
      </c>
      <c r="H84" s="75"/>
      <c r="I84" s="75"/>
      <c r="J84" s="5">
        <v>9661</v>
      </c>
    </row>
    <row r="85" spans="2:10" x14ac:dyDescent="0.25">
      <c r="B85" s="74" t="s">
        <v>15</v>
      </c>
      <c r="C85" s="75"/>
      <c r="D85" s="75"/>
      <c r="E85" s="5" t="s">
        <v>8</v>
      </c>
      <c r="G85" s="74" t="s">
        <v>15</v>
      </c>
      <c r="H85" s="75"/>
      <c r="I85" s="75"/>
      <c r="J85" s="5" t="s">
        <v>8</v>
      </c>
    </row>
    <row r="86" spans="2:10" x14ac:dyDescent="0.25">
      <c r="B86" s="20"/>
      <c r="C86" s="21"/>
      <c r="D86" s="21"/>
      <c r="E86" s="12"/>
      <c r="G86" s="74" t="s">
        <v>71</v>
      </c>
      <c r="H86" s="75"/>
      <c r="I86" s="75"/>
      <c r="J86" s="5" t="s">
        <v>86</v>
      </c>
    </row>
    <row r="87" spans="2:10" x14ac:dyDescent="0.25">
      <c r="B87" s="76" t="s">
        <v>7</v>
      </c>
      <c r="C87" s="77"/>
      <c r="D87" s="77"/>
      <c r="E87" s="78"/>
      <c r="G87" s="74" t="s">
        <v>19</v>
      </c>
      <c r="H87" s="75"/>
      <c r="I87" s="75"/>
      <c r="J87" s="5" t="s">
        <v>21</v>
      </c>
    </row>
    <row r="88" spans="2:10" x14ac:dyDescent="0.25">
      <c r="B88" s="6" t="s">
        <v>9</v>
      </c>
      <c r="C88" t="s">
        <v>10</v>
      </c>
      <c r="D88" t="s">
        <v>11</v>
      </c>
      <c r="E88" s="5" t="s">
        <v>12</v>
      </c>
      <c r="G88" s="10" t="s">
        <v>17</v>
      </c>
      <c r="H88" s="11" t="s">
        <v>12</v>
      </c>
      <c r="I88" s="11" t="s">
        <v>18</v>
      </c>
      <c r="J88" s="12" t="s">
        <v>20</v>
      </c>
    </row>
    <row r="89" spans="2:10" x14ac:dyDescent="0.25">
      <c r="B89" s="6"/>
      <c r="C89" t="s">
        <v>526</v>
      </c>
      <c r="D89" s="13">
        <v>960</v>
      </c>
      <c r="E89" s="5" t="s">
        <v>527</v>
      </c>
      <c r="G89" s="6" t="s">
        <v>39</v>
      </c>
      <c r="H89" t="s">
        <v>40</v>
      </c>
      <c r="I89">
        <v>659151.62</v>
      </c>
      <c r="J89" s="5">
        <f t="shared" ref="J89:J106" si="1">I89/$J$84</f>
        <v>68.228094400165617</v>
      </c>
    </row>
    <row r="90" spans="2:10" x14ac:dyDescent="0.25">
      <c r="B90" s="6"/>
      <c r="C90" t="s">
        <v>528</v>
      </c>
      <c r="D90" s="13">
        <v>48</v>
      </c>
      <c r="E90" s="5" t="s">
        <v>28</v>
      </c>
      <c r="G90" s="6" t="s">
        <v>41</v>
      </c>
      <c r="H90" t="s">
        <v>42</v>
      </c>
      <c r="I90">
        <v>0.17463271999999999</v>
      </c>
      <c r="J90" s="5">
        <f t="shared" si="1"/>
        <v>1.8076050098333506E-5</v>
      </c>
    </row>
    <row r="91" spans="2:10" x14ac:dyDescent="0.25">
      <c r="B91" s="6"/>
      <c r="C91" t="s">
        <v>529</v>
      </c>
      <c r="D91" s="13">
        <v>48</v>
      </c>
      <c r="E91" s="5" t="s">
        <v>28</v>
      </c>
      <c r="G91" s="6" t="s">
        <v>43</v>
      </c>
      <c r="H91" t="s">
        <v>44</v>
      </c>
      <c r="I91">
        <v>38135.660000000003</v>
      </c>
      <c r="J91" s="5">
        <f t="shared" si="1"/>
        <v>3.9473822585653662</v>
      </c>
    </row>
    <row r="92" spans="2:10" x14ac:dyDescent="0.25">
      <c r="B92" s="46"/>
      <c r="C92" s="2" t="s">
        <v>556</v>
      </c>
      <c r="D92" s="49">
        <v>126000</v>
      </c>
      <c r="E92" s="14" t="s">
        <v>23</v>
      </c>
      <c r="G92" s="6" t="s">
        <v>45</v>
      </c>
      <c r="H92" t="s">
        <v>46</v>
      </c>
      <c r="I92">
        <v>1659.9349999999999</v>
      </c>
      <c r="J92" s="5">
        <f t="shared" si="1"/>
        <v>0.17181813476865748</v>
      </c>
    </row>
    <row r="93" spans="2:10" x14ac:dyDescent="0.25">
      <c r="B93" s="6"/>
      <c r="E93" s="5"/>
      <c r="G93" s="6" t="s">
        <v>47</v>
      </c>
      <c r="H93" t="s">
        <v>48</v>
      </c>
      <c r="I93">
        <v>2296.9614999999999</v>
      </c>
      <c r="J93" s="5">
        <f t="shared" si="1"/>
        <v>0.23775608115101954</v>
      </c>
    </row>
    <row r="94" spans="2:10" x14ac:dyDescent="0.25">
      <c r="B94" s="76" t="s">
        <v>13</v>
      </c>
      <c r="C94" s="77"/>
      <c r="D94" s="77"/>
      <c r="E94" s="78"/>
      <c r="G94" s="6" t="s">
        <v>49</v>
      </c>
      <c r="H94" t="s">
        <v>46</v>
      </c>
      <c r="I94">
        <v>1715.1206999999999</v>
      </c>
      <c r="J94" s="5">
        <f t="shared" si="1"/>
        <v>0.17753034882517338</v>
      </c>
    </row>
    <row r="95" spans="2:10" x14ac:dyDescent="0.25">
      <c r="B95" s="6"/>
      <c r="E95" s="5"/>
      <c r="G95" s="6" t="s">
        <v>50</v>
      </c>
      <c r="H95" t="s">
        <v>51</v>
      </c>
      <c r="I95">
        <v>2470.3551000000002</v>
      </c>
      <c r="J95" s="5">
        <f t="shared" si="1"/>
        <v>0.25570387123486182</v>
      </c>
    </row>
    <row r="96" spans="2:10" ht="15.75" thickBot="1" x14ac:dyDescent="0.3">
      <c r="B96" s="7"/>
      <c r="C96" s="8"/>
      <c r="D96" s="8"/>
      <c r="E96" s="9"/>
      <c r="G96" s="6" t="s">
        <v>52</v>
      </c>
      <c r="H96" t="s">
        <v>53</v>
      </c>
      <c r="I96">
        <v>788.09715000000006</v>
      </c>
      <c r="J96" s="5">
        <f t="shared" si="1"/>
        <v>8.157511127212505E-2</v>
      </c>
    </row>
    <row r="97" spans="2:10" x14ac:dyDescent="0.25">
      <c r="G97" s="6" t="s">
        <v>54</v>
      </c>
      <c r="H97" t="s">
        <v>55</v>
      </c>
      <c r="I97">
        <v>22.023454000000001</v>
      </c>
      <c r="J97" s="5">
        <f t="shared" si="1"/>
        <v>2.2796246765345203E-3</v>
      </c>
    </row>
    <row r="98" spans="2:10" x14ac:dyDescent="0.25">
      <c r="G98" s="6" t="s">
        <v>56</v>
      </c>
      <c r="H98" t="s">
        <v>57</v>
      </c>
      <c r="I98">
        <v>19834346</v>
      </c>
      <c r="J98" s="5">
        <f t="shared" si="1"/>
        <v>2053.0323983024532</v>
      </c>
    </row>
    <row r="99" spans="2:10" x14ac:dyDescent="0.25">
      <c r="G99" s="6" t="s">
        <v>58</v>
      </c>
      <c r="H99" t="s">
        <v>57</v>
      </c>
      <c r="I99">
        <v>409997.6</v>
      </c>
      <c r="J99" s="5">
        <f t="shared" si="1"/>
        <v>42.438422523548283</v>
      </c>
    </row>
    <row r="100" spans="2:10" x14ac:dyDescent="0.25">
      <c r="G100" s="6" t="s">
        <v>59</v>
      </c>
      <c r="H100" t="s">
        <v>57</v>
      </c>
      <c r="I100">
        <v>536278.04</v>
      </c>
      <c r="J100" s="5">
        <f t="shared" si="1"/>
        <v>55.509578718559162</v>
      </c>
    </row>
    <row r="101" spans="2:10" x14ac:dyDescent="0.25">
      <c r="G101" s="6" t="s">
        <v>60</v>
      </c>
      <c r="H101" t="s">
        <v>57</v>
      </c>
      <c r="I101">
        <v>3960170.7</v>
      </c>
      <c r="J101" s="5">
        <f t="shared" si="1"/>
        <v>409.91312493530694</v>
      </c>
    </row>
    <row r="102" spans="2:10" x14ac:dyDescent="0.25">
      <c r="G102" s="6" t="s">
        <v>61</v>
      </c>
      <c r="H102" t="s">
        <v>57</v>
      </c>
      <c r="I102">
        <v>14055001</v>
      </c>
      <c r="J102" s="5">
        <f t="shared" si="1"/>
        <v>1454.8184452955181</v>
      </c>
    </row>
    <row r="103" spans="2:10" x14ac:dyDescent="0.25">
      <c r="G103" s="6" t="s">
        <v>62</v>
      </c>
      <c r="H103" t="s">
        <v>63</v>
      </c>
      <c r="I103">
        <v>28314.179</v>
      </c>
      <c r="J103" s="5">
        <f t="shared" si="1"/>
        <v>2.9307710381948038</v>
      </c>
    </row>
    <row r="104" spans="2:10" x14ac:dyDescent="0.25">
      <c r="G104" s="6" t="s">
        <v>64</v>
      </c>
      <c r="H104" t="s">
        <v>65</v>
      </c>
      <c r="I104">
        <v>62290.775999999998</v>
      </c>
      <c r="J104" s="5">
        <f t="shared" si="1"/>
        <v>6.4476530379877861</v>
      </c>
    </row>
    <row r="105" spans="2:10" x14ac:dyDescent="0.25">
      <c r="G105" s="6" t="s">
        <v>66</v>
      </c>
      <c r="H105" t="s">
        <v>67</v>
      </c>
      <c r="I105">
        <v>160709.76999999999</v>
      </c>
      <c r="J105" s="5">
        <f t="shared" si="1"/>
        <v>16.63490011385985</v>
      </c>
    </row>
    <row r="106" spans="2:10" ht="15.75" thickBot="1" x14ac:dyDescent="0.3">
      <c r="G106" s="7" t="s">
        <v>68</v>
      </c>
      <c r="H106" s="8" t="s">
        <v>69</v>
      </c>
      <c r="I106" s="8">
        <v>6708.6041999999998</v>
      </c>
      <c r="J106" s="9">
        <f t="shared" si="1"/>
        <v>0.69440060035193041</v>
      </c>
    </row>
    <row r="109" spans="2:10" x14ac:dyDescent="0.25">
      <c r="B109" t="s">
        <v>84</v>
      </c>
      <c r="C109" t="s">
        <v>510</v>
      </c>
    </row>
  </sheetData>
  <mergeCells count="26">
    <mergeCell ref="G8:J8"/>
    <mergeCell ref="B9:D9"/>
    <mergeCell ref="G9:I9"/>
    <mergeCell ref="B10:D10"/>
    <mergeCell ref="G10:I10"/>
    <mergeCell ref="G11:I11"/>
    <mergeCell ref="B12:E12"/>
    <mergeCell ref="G12:I12"/>
    <mergeCell ref="B72:E72"/>
    <mergeCell ref="B83:E83"/>
    <mergeCell ref="G83:J83"/>
    <mergeCell ref="B35:B70"/>
    <mergeCell ref="G84:I84"/>
    <mergeCell ref="B85:D85"/>
    <mergeCell ref="G85:I85"/>
    <mergeCell ref="G86:I86"/>
    <mergeCell ref="B87:E87"/>
    <mergeCell ref="G87:I87"/>
    <mergeCell ref="B94:E94"/>
    <mergeCell ref="B2:C2"/>
    <mergeCell ref="D2:D3"/>
    <mergeCell ref="D4:D5"/>
    <mergeCell ref="B14:B22"/>
    <mergeCell ref="B23:B34"/>
    <mergeCell ref="B84:D84"/>
    <mergeCell ref="B8:E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F1FC3-B786-4618-85A2-8817DD8B2D72}">
  <dimension ref="B2:AC86"/>
  <sheetViews>
    <sheetView topLeftCell="A15" zoomScale="70" zoomScaleNormal="70" workbookViewId="0">
      <selection activeCell="V89" sqref="V89"/>
    </sheetView>
  </sheetViews>
  <sheetFormatPr defaultRowHeight="15" x14ac:dyDescent="0.25"/>
  <cols>
    <col min="2" max="2" width="11.85546875" customWidth="1"/>
    <col min="3" max="3" width="16.140625" customWidth="1"/>
    <col min="7" max="7" width="36.85546875" customWidth="1"/>
    <col min="8" max="8" width="12.42578125" customWidth="1"/>
    <col min="9" max="9" width="12.28515625" customWidth="1"/>
    <col min="10" max="10" width="37.5703125" customWidth="1"/>
  </cols>
  <sheetData>
    <row r="2" spans="2:10" x14ac:dyDescent="0.25">
      <c r="B2" s="85" t="s">
        <v>2</v>
      </c>
      <c r="C2" s="85"/>
      <c r="D2" s="1" t="s">
        <v>612</v>
      </c>
    </row>
    <row r="3" spans="2:10" x14ac:dyDescent="0.25">
      <c r="C3" t="s">
        <v>654</v>
      </c>
      <c r="D3" t="s">
        <v>657</v>
      </c>
    </row>
    <row r="5" spans="2:10" ht="15.75" thickBot="1" x14ac:dyDescent="0.3"/>
    <row r="6" spans="2:10" x14ac:dyDescent="0.25">
      <c r="B6" s="86" t="s">
        <v>0</v>
      </c>
      <c r="C6" s="87"/>
      <c r="D6" s="87"/>
      <c r="E6" s="88"/>
      <c r="G6" s="86" t="s">
        <v>16</v>
      </c>
      <c r="H6" s="87"/>
      <c r="I6" s="87"/>
      <c r="J6" s="88"/>
    </row>
    <row r="7" spans="2:10" x14ac:dyDescent="0.25">
      <c r="B7" s="74" t="s">
        <v>6</v>
      </c>
      <c r="C7" s="75"/>
      <c r="D7" s="75"/>
      <c r="E7" s="5" t="s">
        <v>559</v>
      </c>
      <c r="G7" s="74" t="s">
        <v>36</v>
      </c>
      <c r="H7" s="75"/>
      <c r="I7" s="75"/>
      <c r="J7" s="5">
        <v>1129.05</v>
      </c>
    </row>
    <row r="8" spans="2:10" x14ac:dyDescent="0.25">
      <c r="B8" s="74" t="s">
        <v>5</v>
      </c>
      <c r="C8" s="75"/>
      <c r="D8" s="75"/>
      <c r="E8" s="5" t="s">
        <v>619</v>
      </c>
      <c r="G8" s="74" t="s">
        <v>5</v>
      </c>
      <c r="H8" s="75"/>
      <c r="I8" s="75"/>
      <c r="J8" s="5" t="s">
        <v>8</v>
      </c>
    </row>
    <row r="9" spans="2:10" x14ac:dyDescent="0.25">
      <c r="B9" s="20"/>
      <c r="C9" s="21"/>
      <c r="D9" s="21"/>
      <c r="E9" s="12"/>
      <c r="G9" s="74" t="s">
        <v>71</v>
      </c>
      <c r="H9" s="75"/>
      <c r="I9" s="75"/>
      <c r="J9" s="5" t="s">
        <v>86</v>
      </c>
    </row>
    <row r="10" spans="2:10" x14ac:dyDescent="0.25">
      <c r="B10" s="76" t="s">
        <v>7</v>
      </c>
      <c r="C10" s="77"/>
      <c r="D10" s="77"/>
      <c r="E10" s="78"/>
      <c r="G10" s="74" t="s">
        <v>19</v>
      </c>
      <c r="H10" s="75"/>
      <c r="I10" s="75"/>
      <c r="J10" s="5" t="s">
        <v>21</v>
      </c>
    </row>
    <row r="11" spans="2:10" x14ac:dyDescent="0.25">
      <c r="B11" s="6" t="s">
        <v>9</v>
      </c>
      <c r="C11" t="s">
        <v>10</v>
      </c>
      <c r="D11" t="s">
        <v>11</v>
      </c>
      <c r="E11" s="5" t="s">
        <v>12</v>
      </c>
      <c r="G11" s="10" t="s">
        <v>17</v>
      </c>
      <c r="H11" s="11" t="s">
        <v>12</v>
      </c>
      <c r="I11" s="11" t="s">
        <v>18</v>
      </c>
      <c r="J11" s="12" t="s">
        <v>37</v>
      </c>
    </row>
    <row r="12" spans="2:10" x14ac:dyDescent="0.25">
      <c r="B12" s="95" t="s">
        <v>560</v>
      </c>
      <c r="C12" s="38" t="s">
        <v>641</v>
      </c>
      <c r="D12" s="40">
        <v>263.54399999999998</v>
      </c>
      <c r="E12" s="43" t="s">
        <v>23</v>
      </c>
      <c r="G12" s="6" t="s">
        <v>39</v>
      </c>
      <c r="H12" t="s">
        <v>40</v>
      </c>
      <c r="I12">
        <v>49740.553999999996</v>
      </c>
      <c r="J12" s="5">
        <f>I12/$J$7</f>
        <v>44.055226960719189</v>
      </c>
    </row>
    <row r="13" spans="2:10" x14ac:dyDescent="0.25">
      <c r="B13" s="95"/>
      <c r="C13" s="38" t="s">
        <v>562</v>
      </c>
      <c r="D13" s="40">
        <v>149.79</v>
      </c>
      <c r="E13" s="43" t="s">
        <v>23</v>
      </c>
      <c r="G13" s="6" t="s">
        <v>41</v>
      </c>
      <c r="H13" t="s">
        <v>42</v>
      </c>
      <c r="I13">
        <v>2.0713586999999999E-2</v>
      </c>
      <c r="J13" s="5">
        <f t="shared" ref="J13:J29" si="0">I13/$J$7</f>
        <v>1.8346031619503121E-5</v>
      </c>
    </row>
    <row r="14" spans="2:10" x14ac:dyDescent="0.25">
      <c r="B14" s="95"/>
      <c r="C14" t="s">
        <v>566</v>
      </c>
      <c r="D14" s="40">
        <v>5.0964686385861047</v>
      </c>
      <c r="E14" s="5" t="s">
        <v>23</v>
      </c>
      <c r="G14" s="6" t="s">
        <v>43</v>
      </c>
      <c r="H14" t="s">
        <v>44</v>
      </c>
      <c r="I14">
        <v>3120.7022999999999</v>
      </c>
      <c r="J14" s="5">
        <f t="shared" si="0"/>
        <v>2.7640071741729773</v>
      </c>
    </row>
    <row r="15" spans="2:10" x14ac:dyDescent="0.25">
      <c r="B15" s="95"/>
      <c r="C15" t="s">
        <v>567</v>
      </c>
      <c r="D15" s="40">
        <v>2.353006689992375E-7</v>
      </c>
      <c r="E15" s="5" t="s">
        <v>171</v>
      </c>
      <c r="G15" s="6" t="s">
        <v>45</v>
      </c>
      <c r="H15" t="s">
        <v>46</v>
      </c>
      <c r="I15">
        <v>159.78054</v>
      </c>
      <c r="J15" s="5">
        <f t="shared" si="0"/>
        <v>0.14151768300783846</v>
      </c>
    </row>
    <row r="16" spans="2:10" x14ac:dyDescent="0.25">
      <c r="B16" s="95"/>
      <c r="C16" t="s">
        <v>568</v>
      </c>
      <c r="D16" s="40">
        <v>51.375691921230896</v>
      </c>
      <c r="E16" s="5" t="s">
        <v>23</v>
      </c>
      <c r="G16" s="6" t="s">
        <v>47</v>
      </c>
      <c r="H16" t="s">
        <v>48</v>
      </c>
      <c r="I16">
        <v>191.19789</v>
      </c>
      <c r="J16" s="5">
        <f t="shared" si="0"/>
        <v>0.16934404145077722</v>
      </c>
    </row>
    <row r="17" spans="2:16" x14ac:dyDescent="0.25">
      <c r="B17" s="95"/>
      <c r="C17" t="s">
        <v>524</v>
      </c>
      <c r="D17" s="40">
        <v>5.0964686385861047</v>
      </c>
      <c r="E17" s="5" t="s">
        <v>23</v>
      </c>
      <c r="G17" s="6" t="s">
        <v>49</v>
      </c>
      <c r="H17" t="s">
        <v>46</v>
      </c>
      <c r="I17">
        <v>171.06226000000001</v>
      </c>
      <c r="J17" s="5">
        <f t="shared" si="0"/>
        <v>0.15150990655861124</v>
      </c>
    </row>
    <row r="18" spans="2:16" x14ac:dyDescent="0.25">
      <c r="B18" s="95"/>
      <c r="C18" t="s">
        <v>572</v>
      </c>
      <c r="D18">
        <v>25.2563</v>
      </c>
      <c r="E18" s="5" t="s">
        <v>23</v>
      </c>
      <c r="G18" s="6" t="s">
        <v>50</v>
      </c>
      <c r="H18" t="s">
        <v>51</v>
      </c>
      <c r="I18">
        <v>522.85988999999995</v>
      </c>
      <c r="J18" s="5">
        <f t="shared" si="0"/>
        <v>0.4630971967583366</v>
      </c>
    </row>
    <row r="19" spans="2:16" x14ac:dyDescent="0.25">
      <c r="B19" s="95"/>
      <c r="C19" t="s">
        <v>80</v>
      </c>
      <c r="D19" s="40">
        <v>51.375691921230896</v>
      </c>
      <c r="E19" s="5" t="s">
        <v>23</v>
      </c>
      <c r="G19" s="6" t="s">
        <v>52</v>
      </c>
      <c r="H19" t="s">
        <v>53</v>
      </c>
      <c r="I19">
        <v>66.488318000000007</v>
      </c>
      <c r="J19" s="5">
        <f t="shared" si="0"/>
        <v>5.8888727691421998E-2</v>
      </c>
    </row>
    <row r="20" spans="2:16" x14ac:dyDescent="0.25">
      <c r="B20" s="95"/>
      <c r="C20" t="s">
        <v>569</v>
      </c>
      <c r="D20" s="40">
        <v>282.56630556676993</v>
      </c>
      <c r="E20" s="5" t="s">
        <v>450</v>
      </c>
      <c r="G20" s="6" t="s">
        <v>54</v>
      </c>
      <c r="H20" t="s">
        <v>55</v>
      </c>
      <c r="I20">
        <v>2.3292890000000002</v>
      </c>
      <c r="J20" s="5">
        <f t="shared" si="0"/>
        <v>2.0630521234666316E-3</v>
      </c>
    </row>
    <row r="21" spans="2:16" x14ac:dyDescent="0.25">
      <c r="B21" s="95"/>
      <c r="C21" t="s">
        <v>570</v>
      </c>
      <c r="D21" s="40">
        <v>282.56630556676993</v>
      </c>
      <c r="E21" s="5" t="s">
        <v>450</v>
      </c>
      <c r="G21" s="6" t="s">
        <v>56</v>
      </c>
      <c r="H21" t="s">
        <v>57</v>
      </c>
      <c r="I21">
        <v>999990.6</v>
      </c>
      <c r="J21" s="5">
        <f t="shared" si="0"/>
        <v>885.69204198219745</v>
      </c>
    </row>
    <row r="22" spans="2:16" x14ac:dyDescent="0.25">
      <c r="B22" s="95" t="s">
        <v>564</v>
      </c>
      <c r="C22" t="s">
        <v>567</v>
      </c>
      <c r="D22">
        <v>5.0634321177051103E-8</v>
      </c>
      <c r="E22" s="5" t="s">
        <v>171</v>
      </c>
      <c r="G22" s="6" t="s">
        <v>58</v>
      </c>
      <c r="H22" t="s">
        <v>57</v>
      </c>
      <c r="I22">
        <v>42760.834000000003</v>
      </c>
      <c r="J22" s="5">
        <f t="shared" si="0"/>
        <v>37.873286391213853</v>
      </c>
    </row>
    <row r="23" spans="2:16" x14ac:dyDescent="0.25">
      <c r="B23" s="95"/>
      <c r="C23" t="s">
        <v>568</v>
      </c>
      <c r="D23">
        <v>110.55528641277533</v>
      </c>
      <c r="E23" s="5" t="s">
        <v>23</v>
      </c>
      <c r="G23" s="6" t="s">
        <v>59</v>
      </c>
      <c r="H23" t="s">
        <v>57</v>
      </c>
      <c r="I23">
        <v>53906.144</v>
      </c>
      <c r="J23" s="5">
        <f t="shared" si="0"/>
        <v>47.744691554846995</v>
      </c>
    </row>
    <row r="24" spans="2:16" x14ac:dyDescent="0.25">
      <c r="B24" s="95"/>
      <c r="C24" t="s">
        <v>571</v>
      </c>
      <c r="D24">
        <v>6.0805407527026434</v>
      </c>
      <c r="E24" s="5" t="s">
        <v>23</v>
      </c>
      <c r="G24" s="6" t="s">
        <v>60</v>
      </c>
      <c r="H24" t="s">
        <v>57</v>
      </c>
      <c r="I24">
        <v>64783.821000000004</v>
      </c>
      <c r="J24" s="5">
        <f t="shared" si="0"/>
        <v>57.379054072007442</v>
      </c>
    </row>
    <row r="25" spans="2:16" x14ac:dyDescent="0.25">
      <c r="B25" s="95"/>
      <c r="C25" t="s">
        <v>80</v>
      </c>
      <c r="D25">
        <v>110.55528641277533</v>
      </c>
      <c r="E25" s="5" t="s">
        <v>23</v>
      </c>
      <c r="G25" s="6" t="s">
        <v>61</v>
      </c>
      <c r="H25" t="s">
        <v>57</v>
      </c>
      <c r="I25">
        <v>668797.31999999995</v>
      </c>
      <c r="J25" s="5">
        <f t="shared" si="0"/>
        <v>592.35403215092333</v>
      </c>
    </row>
    <row r="26" spans="2:16" x14ac:dyDescent="0.25">
      <c r="B26" s="95"/>
      <c r="C26" t="s">
        <v>569</v>
      </c>
      <c r="D26">
        <v>34.824915220024231</v>
      </c>
      <c r="E26" s="5" t="s">
        <v>450</v>
      </c>
      <c r="G26" s="6" t="s">
        <v>62</v>
      </c>
      <c r="H26" t="s">
        <v>63</v>
      </c>
      <c r="I26">
        <v>2920.3737000000001</v>
      </c>
      <c r="J26" s="5">
        <f t="shared" si="0"/>
        <v>2.5865760595190648</v>
      </c>
    </row>
    <row r="27" spans="2:16" x14ac:dyDescent="0.25">
      <c r="B27" s="95"/>
      <c r="C27" t="s">
        <v>570</v>
      </c>
      <c r="D27">
        <v>34.824915220024231</v>
      </c>
      <c r="E27" s="5" t="s">
        <v>450</v>
      </c>
      <c r="G27" s="6" t="s">
        <v>64</v>
      </c>
      <c r="H27" t="s">
        <v>65</v>
      </c>
      <c r="I27">
        <v>2295.9326000000001</v>
      </c>
      <c r="J27" s="5">
        <f t="shared" si="0"/>
        <v>2.0335083477259643</v>
      </c>
    </row>
    <row r="28" spans="2:16" x14ac:dyDescent="0.25">
      <c r="B28" s="46" t="s">
        <v>565</v>
      </c>
      <c r="C28" s="41" t="s">
        <v>530</v>
      </c>
      <c r="D28" s="41">
        <v>2.6</v>
      </c>
      <c r="E28" s="44" t="s">
        <v>171</v>
      </c>
      <c r="G28" s="6" t="s">
        <v>66</v>
      </c>
      <c r="H28" t="s">
        <v>67</v>
      </c>
      <c r="I28">
        <v>12993.195</v>
      </c>
      <c r="J28" s="5">
        <f t="shared" si="0"/>
        <v>11.508077587352199</v>
      </c>
    </row>
    <row r="29" spans="2:16" ht="15.75" thickBot="1" x14ac:dyDescent="0.3">
      <c r="B29" s="6"/>
      <c r="E29" s="5"/>
      <c r="G29" s="7" t="s">
        <v>68</v>
      </c>
      <c r="H29" s="8" t="s">
        <v>69</v>
      </c>
      <c r="I29" s="8">
        <v>522.72249999999997</v>
      </c>
      <c r="J29" s="9">
        <f t="shared" si="0"/>
        <v>0.46297551038483681</v>
      </c>
    </row>
    <row r="30" spans="2:16" x14ac:dyDescent="0.25">
      <c r="B30" s="76" t="s">
        <v>13</v>
      </c>
      <c r="C30" s="77"/>
      <c r="D30" s="77"/>
      <c r="E30" s="78"/>
    </row>
    <row r="31" spans="2:16" x14ac:dyDescent="0.25">
      <c r="B31" s="47"/>
      <c r="C31" s="3" t="s">
        <v>496</v>
      </c>
      <c r="D31" s="3">
        <v>65.032521419279604</v>
      </c>
      <c r="E31" s="15" t="s">
        <v>27</v>
      </c>
    </row>
    <row r="32" spans="2:16" x14ac:dyDescent="0.25">
      <c r="B32" s="47"/>
      <c r="C32" s="3" t="s">
        <v>77</v>
      </c>
      <c r="D32" s="3">
        <v>6.5032521419279607</v>
      </c>
      <c r="E32" s="15" t="s">
        <v>195</v>
      </c>
      <c r="P32" s="13"/>
    </row>
    <row r="33" spans="2:19" x14ac:dyDescent="0.25">
      <c r="B33" s="6"/>
      <c r="C33" t="s">
        <v>622</v>
      </c>
      <c r="D33">
        <v>8.0965489167003106</v>
      </c>
      <c r="E33" s="5" t="s">
        <v>23</v>
      </c>
    </row>
    <row r="34" spans="2:19" x14ac:dyDescent="0.25">
      <c r="B34" s="6"/>
      <c r="C34" t="s">
        <v>626</v>
      </c>
      <c r="D34">
        <v>97.995000000000005</v>
      </c>
      <c r="E34" s="5" t="s">
        <v>23</v>
      </c>
      <c r="S34" s="13"/>
    </row>
    <row r="35" spans="2:19" x14ac:dyDescent="0.25">
      <c r="B35" s="6"/>
      <c r="C35" t="s">
        <v>625</v>
      </c>
      <c r="D35">
        <v>1.7236000000000001E-6</v>
      </c>
      <c r="E35" s="5" t="s">
        <v>23</v>
      </c>
    </row>
    <row r="36" spans="2:19" x14ac:dyDescent="0.25">
      <c r="B36" s="6"/>
      <c r="C36" t="s">
        <v>623</v>
      </c>
      <c r="D36">
        <f>9.313*0.47/0.97 + 8.896</f>
        <v>13.408484536082476</v>
      </c>
      <c r="E36" s="5" t="s">
        <v>23</v>
      </c>
      <c r="P36" s="13"/>
    </row>
    <row r="37" spans="2:19" ht="15.75" thickBot="1" x14ac:dyDescent="0.3">
      <c r="B37" s="7"/>
      <c r="C37" s="8" t="s">
        <v>624</v>
      </c>
      <c r="D37" s="8">
        <v>42.395000000000003</v>
      </c>
      <c r="E37" s="9" t="s">
        <v>23</v>
      </c>
    </row>
    <row r="39" spans="2:19" ht="15.75" thickBot="1" x14ac:dyDescent="0.3"/>
    <row r="40" spans="2:19" x14ac:dyDescent="0.25">
      <c r="B40" s="79" t="s">
        <v>1</v>
      </c>
      <c r="C40" s="80"/>
      <c r="D40" s="80"/>
      <c r="E40" s="81"/>
      <c r="G40" s="79" t="s">
        <v>70</v>
      </c>
      <c r="H40" s="80"/>
      <c r="I40" s="80"/>
      <c r="J40" s="81"/>
    </row>
    <row r="41" spans="2:19" x14ac:dyDescent="0.25">
      <c r="B41" s="74" t="s">
        <v>14</v>
      </c>
      <c r="C41" s="75"/>
      <c r="D41" s="75"/>
      <c r="E41" s="5" t="s">
        <v>557</v>
      </c>
      <c r="G41" s="74" t="s">
        <v>38</v>
      </c>
      <c r="H41" s="75"/>
      <c r="I41" s="75"/>
      <c r="J41" s="5">
        <v>1129.05</v>
      </c>
    </row>
    <row r="42" spans="2:19" x14ac:dyDescent="0.25">
      <c r="B42" s="74" t="s">
        <v>15</v>
      </c>
      <c r="C42" s="75"/>
      <c r="D42" s="75"/>
      <c r="E42" s="5" t="s">
        <v>558</v>
      </c>
      <c r="G42" s="74" t="s">
        <v>15</v>
      </c>
      <c r="H42" s="75"/>
      <c r="I42" s="75"/>
      <c r="J42" s="5" t="s">
        <v>8</v>
      </c>
    </row>
    <row r="43" spans="2:19" x14ac:dyDescent="0.25">
      <c r="B43" s="20"/>
      <c r="C43" s="21"/>
      <c r="D43" s="21"/>
      <c r="E43" s="12"/>
      <c r="G43" s="74" t="s">
        <v>71</v>
      </c>
      <c r="H43" s="75"/>
      <c r="I43" s="75"/>
      <c r="J43" s="5" t="s">
        <v>86</v>
      </c>
    </row>
    <row r="44" spans="2:19" x14ac:dyDescent="0.25">
      <c r="B44" s="76" t="s">
        <v>7</v>
      </c>
      <c r="C44" s="77"/>
      <c r="D44" s="77"/>
      <c r="E44" s="78"/>
      <c r="G44" s="74" t="s">
        <v>19</v>
      </c>
      <c r="H44" s="75"/>
      <c r="I44" s="75"/>
      <c r="J44" s="5" t="s">
        <v>21</v>
      </c>
    </row>
    <row r="45" spans="2:19" x14ac:dyDescent="0.25">
      <c r="B45" s="6" t="s">
        <v>9</v>
      </c>
      <c r="C45" t="s">
        <v>10</v>
      </c>
      <c r="D45" t="s">
        <v>11</v>
      </c>
      <c r="E45" s="5" t="s">
        <v>12</v>
      </c>
      <c r="G45" s="10" t="s">
        <v>17</v>
      </c>
      <c r="H45" s="11" t="s">
        <v>12</v>
      </c>
      <c r="I45" s="11" t="s">
        <v>18</v>
      </c>
      <c r="J45" s="12" t="s">
        <v>20</v>
      </c>
    </row>
    <row r="46" spans="2:19" x14ac:dyDescent="0.25">
      <c r="B46" s="95" t="s">
        <v>560</v>
      </c>
      <c r="C46" s="38" t="s">
        <v>654</v>
      </c>
      <c r="D46">
        <v>1.3</v>
      </c>
      <c r="E46" s="5" t="s">
        <v>589</v>
      </c>
      <c r="G46" s="6" t="s">
        <v>39</v>
      </c>
      <c r="H46" t="s">
        <v>40</v>
      </c>
      <c r="I46">
        <v>45547387</v>
      </c>
      <c r="J46" s="5">
        <f>I46/$J$41</f>
        <v>40341.337407555024</v>
      </c>
    </row>
    <row r="47" spans="2:19" x14ac:dyDescent="0.25">
      <c r="B47" s="95"/>
      <c r="C47" t="s">
        <v>566</v>
      </c>
      <c r="D47">
        <v>99185.264546572085</v>
      </c>
      <c r="E47" s="5" t="s">
        <v>23</v>
      </c>
      <c r="G47" s="6" t="s">
        <v>41</v>
      </c>
      <c r="H47" t="s">
        <v>42</v>
      </c>
      <c r="I47">
        <v>14.58798</v>
      </c>
      <c r="J47" s="5">
        <f>I47/$J$41</f>
        <v>1.2920579248040388E-2</v>
      </c>
    </row>
    <row r="48" spans="2:19" x14ac:dyDescent="0.25">
      <c r="B48" s="95"/>
      <c r="C48" t="s">
        <v>567</v>
      </c>
      <c r="D48">
        <v>4.5793196736219777E-3</v>
      </c>
      <c r="E48" s="5" t="s">
        <v>171</v>
      </c>
      <c r="G48" s="6" t="s">
        <v>43</v>
      </c>
      <c r="H48" t="s">
        <v>44</v>
      </c>
      <c r="I48">
        <v>1397127.2</v>
      </c>
      <c r="J48" s="5">
        <f t="shared" ref="J48:J63" si="1">I48/$J$41</f>
        <v>1237.4360745759709</v>
      </c>
    </row>
    <row r="49" spans="2:10" x14ac:dyDescent="0.25">
      <c r="B49" s="95"/>
      <c r="C49" t="s">
        <v>568</v>
      </c>
      <c r="D49">
        <v>999851.4571227025</v>
      </c>
      <c r="E49" s="5" t="s">
        <v>23</v>
      </c>
      <c r="G49" s="6" t="s">
        <v>45</v>
      </c>
      <c r="H49" t="s">
        <v>46</v>
      </c>
      <c r="I49">
        <v>107572.98</v>
      </c>
      <c r="J49" s="5">
        <f t="shared" si="1"/>
        <v>95.277427926132589</v>
      </c>
    </row>
    <row r="50" spans="2:10" x14ac:dyDescent="0.25">
      <c r="B50" s="95"/>
      <c r="C50" t="s">
        <v>524</v>
      </c>
      <c r="D50">
        <v>99185.264546572085</v>
      </c>
      <c r="E50" s="5" t="s">
        <v>23</v>
      </c>
      <c r="G50" s="6" t="s">
        <v>47</v>
      </c>
      <c r="H50" t="s">
        <v>48</v>
      </c>
      <c r="I50">
        <v>77115.057000000001</v>
      </c>
      <c r="J50" s="5">
        <f t="shared" si="1"/>
        <v>68.300834329746252</v>
      </c>
    </row>
    <row r="51" spans="2:10" x14ac:dyDescent="0.25">
      <c r="B51" s="95"/>
      <c r="C51" t="s">
        <v>80</v>
      </c>
      <c r="D51">
        <v>999851.45712270297</v>
      </c>
      <c r="E51" s="5" t="s">
        <v>23</v>
      </c>
      <c r="G51" s="6" t="s">
        <v>49</v>
      </c>
      <c r="H51" t="s">
        <v>46</v>
      </c>
      <c r="I51">
        <v>111168.12</v>
      </c>
      <c r="J51" s="5">
        <f t="shared" si="1"/>
        <v>98.461644745582575</v>
      </c>
    </row>
    <row r="52" spans="2:10" x14ac:dyDescent="0.25">
      <c r="B52" s="95"/>
      <c r="C52" t="s">
        <v>569</v>
      </c>
      <c r="D52">
        <v>5499183.0141748628</v>
      </c>
      <c r="E52" s="5" t="s">
        <v>450</v>
      </c>
      <c r="G52" s="6" t="s">
        <v>50</v>
      </c>
      <c r="H52" t="s">
        <v>51</v>
      </c>
      <c r="I52">
        <v>164263.41</v>
      </c>
      <c r="J52" s="5">
        <f t="shared" si="1"/>
        <v>145.48816261458748</v>
      </c>
    </row>
    <row r="53" spans="2:10" x14ac:dyDescent="0.25">
      <c r="B53" s="95"/>
      <c r="C53" t="s">
        <v>570</v>
      </c>
      <c r="D53">
        <v>5499183.0141748628</v>
      </c>
      <c r="E53" s="5" t="s">
        <v>450</v>
      </c>
      <c r="G53" s="6" t="s">
        <v>52</v>
      </c>
      <c r="H53" t="s">
        <v>53</v>
      </c>
      <c r="I53">
        <v>22169.133000000002</v>
      </c>
      <c r="J53" s="5">
        <f t="shared" si="1"/>
        <v>19.635209246711838</v>
      </c>
    </row>
    <row r="54" spans="2:10" x14ac:dyDescent="0.25">
      <c r="B54" s="95" t="s">
        <v>564</v>
      </c>
      <c r="C54" t="s">
        <v>567</v>
      </c>
      <c r="D54">
        <v>9.8542322090599513E-4</v>
      </c>
      <c r="E54" s="5" t="s">
        <v>171</v>
      </c>
      <c r="G54" s="6" t="s">
        <v>54</v>
      </c>
      <c r="H54" t="s">
        <v>55</v>
      </c>
      <c r="I54">
        <v>3204.6500999999998</v>
      </c>
      <c r="J54" s="5">
        <f t="shared" si="1"/>
        <v>2.838359771489305</v>
      </c>
    </row>
    <row r="55" spans="2:10" x14ac:dyDescent="0.25">
      <c r="B55" s="95"/>
      <c r="C55" t="s">
        <v>568</v>
      </c>
      <c r="D55">
        <v>2151579.0849475875</v>
      </c>
      <c r="E55" s="5" t="s">
        <v>23</v>
      </c>
      <c r="G55" s="6" t="s">
        <v>56</v>
      </c>
      <c r="H55" t="s">
        <v>57</v>
      </c>
      <c r="I55" s="13">
        <v>103461330</v>
      </c>
      <c r="J55" s="5">
        <f t="shared" si="1"/>
        <v>91635.738009831271</v>
      </c>
    </row>
    <row r="56" spans="2:10" x14ac:dyDescent="0.25">
      <c r="B56" s="95"/>
      <c r="C56" t="s">
        <v>571</v>
      </c>
      <c r="D56">
        <v>118336.84967211733</v>
      </c>
      <c r="E56" s="5" t="s">
        <v>23</v>
      </c>
      <c r="G56" s="6" t="s">
        <v>58</v>
      </c>
      <c r="H56" t="s">
        <v>57</v>
      </c>
      <c r="I56">
        <v>3859145.1</v>
      </c>
      <c r="J56" s="5">
        <f t="shared" si="1"/>
        <v>3418.0462335591869</v>
      </c>
    </row>
    <row r="57" spans="2:10" x14ac:dyDescent="0.25">
      <c r="B57" s="95"/>
      <c r="C57" t="s">
        <v>80</v>
      </c>
      <c r="D57">
        <v>2151579.0849475875</v>
      </c>
      <c r="E57" s="5" t="s">
        <v>23</v>
      </c>
      <c r="G57" s="6" t="s">
        <v>59</v>
      </c>
      <c r="H57" t="s">
        <v>57</v>
      </c>
      <c r="I57">
        <v>5179682.5999999996</v>
      </c>
      <c r="J57" s="5">
        <f t="shared" si="1"/>
        <v>4587.6467826934149</v>
      </c>
    </row>
    <row r="58" spans="2:10" x14ac:dyDescent="0.25">
      <c r="B58" s="95"/>
      <c r="C58" t="s">
        <v>569</v>
      </c>
      <c r="D58">
        <v>677747.41175849014</v>
      </c>
      <c r="E58" s="5" t="s">
        <v>450</v>
      </c>
      <c r="G58" s="6" t="s">
        <v>60</v>
      </c>
      <c r="H58" t="s">
        <v>57</v>
      </c>
      <c r="I58">
        <v>59116596</v>
      </c>
      <c r="J58" s="5">
        <f t="shared" si="1"/>
        <v>52359.590806430184</v>
      </c>
    </row>
    <row r="59" spans="2:10" x14ac:dyDescent="0.25">
      <c r="B59" s="93"/>
      <c r="C59" s="2" t="s">
        <v>570</v>
      </c>
      <c r="D59" s="2">
        <v>677747.41175849014</v>
      </c>
      <c r="E59" s="14" t="s">
        <v>450</v>
      </c>
      <c r="G59" s="6" t="s">
        <v>61</v>
      </c>
      <c r="H59" t="s">
        <v>57</v>
      </c>
      <c r="I59">
        <v>95437360</v>
      </c>
      <c r="J59" s="5">
        <f t="shared" si="1"/>
        <v>84528.904831495514</v>
      </c>
    </row>
    <row r="60" spans="2:10" x14ac:dyDescent="0.25">
      <c r="B60" s="6"/>
      <c r="E60" s="5"/>
      <c r="G60" s="6" t="s">
        <v>62</v>
      </c>
      <c r="H60" t="s">
        <v>63</v>
      </c>
      <c r="I60">
        <v>2698040.9</v>
      </c>
      <c r="J60" s="5">
        <f t="shared" si="1"/>
        <v>2389.6558168371639</v>
      </c>
    </row>
    <row r="61" spans="2:10" x14ac:dyDescent="0.25">
      <c r="B61" s="76" t="s">
        <v>13</v>
      </c>
      <c r="C61" s="77"/>
      <c r="D61" s="77"/>
      <c r="E61" s="78"/>
      <c r="G61" s="6" t="s">
        <v>64</v>
      </c>
      <c r="H61" t="s">
        <v>65</v>
      </c>
      <c r="I61">
        <v>706644.25</v>
      </c>
      <c r="J61" s="5">
        <f t="shared" si="1"/>
        <v>625.87507196315494</v>
      </c>
    </row>
    <row r="62" spans="2:10" x14ac:dyDescent="0.25">
      <c r="B62" s="6"/>
      <c r="C62" s="3" t="s">
        <v>496</v>
      </c>
      <c r="D62">
        <v>1265452.6187223201</v>
      </c>
      <c r="E62" s="5" t="s">
        <v>27</v>
      </c>
      <c r="G62" s="6" t="s">
        <v>66</v>
      </c>
      <c r="H62" t="s">
        <v>67</v>
      </c>
      <c r="I62">
        <v>11367901</v>
      </c>
      <c r="J62" s="5">
        <f t="shared" si="1"/>
        <v>10068.554094149949</v>
      </c>
    </row>
    <row r="63" spans="2:10" ht="15.75" thickBot="1" x14ac:dyDescent="0.3">
      <c r="B63" s="6"/>
      <c r="C63" s="3" t="s">
        <v>77</v>
      </c>
      <c r="D63">
        <v>126545.26187223205</v>
      </c>
      <c r="E63" s="5" t="s">
        <v>195</v>
      </c>
      <c r="G63" s="7" t="s">
        <v>68</v>
      </c>
      <c r="H63" s="8" t="s">
        <v>69</v>
      </c>
      <c r="I63" s="8">
        <v>370395.9</v>
      </c>
      <c r="J63" s="9">
        <f t="shared" si="1"/>
        <v>328.05978477481074</v>
      </c>
    </row>
    <row r="64" spans="2:10" x14ac:dyDescent="0.25">
      <c r="B64" s="6"/>
      <c r="C64" t="s">
        <v>622</v>
      </c>
      <c r="D64">
        <v>157548.85103092922</v>
      </c>
      <c r="E64" s="5" t="s">
        <v>23</v>
      </c>
    </row>
    <row r="65" spans="2:29" ht="15.75" thickBot="1" x14ac:dyDescent="0.3">
      <c r="B65" s="7"/>
      <c r="C65" s="60" t="s">
        <v>620</v>
      </c>
      <c r="D65" s="8">
        <v>9313</v>
      </c>
      <c r="E65" s="9" t="s">
        <v>23</v>
      </c>
    </row>
    <row r="67" spans="2:29" ht="15.75" thickBot="1" x14ac:dyDescent="0.3"/>
    <row r="68" spans="2:29" x14ac:dyDescent="0.25">
      <c r="C68" s="96" t="s">
        <v>633</v>
      </c>
      <c r="D68" s="97"/>
      <c r="E68" s="98"/>
      <c r="G68" s="96" t="s">
        <v>644</v>
      </c>
      <c r="H68" s="97"/>
      <c r="I68" s="98"/>
      <c r="K68" s="96" t="s">
        <v>647</v>
      </c>
      <c r="L68" s="97"/>
      <c r="M68" s="98"/>
      <c r="O68" s="96" t="s">
        <v>648</v>
      </c>
      <c r="P68" s="97"/>
      <c r="Q68" s="98"/>
      <c r="S68" s="96" t="s">
        <v>636</v>
      </c>
      <c r="T68" s="97"/>
      <c r="U68" s="98"/>
      <c r="W68" s="96" t="s">
        <v>640</v>
      </c>
      <c r="X68" s="97"/>
      <c r="Y68" s="98"/>
      <c r="AA68" s="96" t="s">
        <v>574</v>
      </c>
      <c r="AB68" s="97"/>
      <c r="AC68" s="98"/>
    </row>
    <row r="69" spans="2:29" x14ac:dyDescent="0.25">
      <c r="C69" s="76" t="s">
        <v>7</v>
      </c>
      <c r="D69" s="77"/>
      <c r="E69" s="78"/>
      <c r="G69" s="76" t="s">
        <v>7</v>
      </c>
      <c r="H69" s="77"/>
      <c r="I69" s="78"/>
      <c r="K69" s="76" t="s">
        <v>7</v>
      </c>
      <c r="L69" s="77"/>
      <c r="M69" s="78"/>
      <c r="O69" s="76" t="s">
        <v>7</v>
      </c>
      <c r="P69" s="77"/>
      <c r="Q69" s="78"/>
      <c r="S69" s="76" t="s">
        <v>7</v>
      </c>
      <c r="T69" s="77"/>
      <c r="U69" s="78"/>
      <c r="W69" s="76" t="s">
        <v>7</v>
      </c>
      <c r="X69" s="77"/>
      <c r="Y69" s="78"/>
      <c r="AA69" s="76" t="s">
        <v>7</v>
      </c>
      <c r="AB69" s="77"/>
      <c r="AC69" s="78"/>
    </row>
    <row r="70" spans="2:29" x14ac:dyDescent="0.25">
      <c r="C70" s="6" t="s">
        <v>10</v>
      </c>
      <c r="D70" t="s">
        <v>11</v>
      </c>
      <c r="E70" s="5" t="s">
        <v>12</v>
      </c>
      <c r="G70" s="6" t="s">
        <v>10</v>
      </c>
      <c r="H70" t="s">
        <v>11</v>
      </c>
      <c r="I70" s="5" t="s">
        <v>12</v>
      </c>
      <c r="K70" s="6" t="s">
        <v>10</v>
      </c>
      <c r="L70" t="s">
        <v>11</v>
      </c>
      <c r="M70" s="5" t="s">
        <v>12</v>
      </c>
      <c r="O70" s="6" t="s">
        <v>10</v>
      </c>
      <c r="P70" t="s">
        <v>11</v>
      </c>
      <c r="Q70" s="5" t="s">
        <v>12</v>
      </c>
      <c r="S70" s="6" t="s">
        <v>10</v>
      </c>
      <c r="T70" t="s">
        <v>11</v>
      </c>
      <c r="U70" s="5" t="s">
        <v>12</v>
      </c>
      <c r="W70" s="6" t="s">
        <v>10</v>
      </c>
      <c r="X70" t="s">
        <v>11</v>
      </c>
      <c r="Y70" s="5" t="s">
        <v>12</v>
      </c>
      <c r="AA70" s="6" t="s">
        <v>10</v>
      </c>
      <c r="AB70" t="s">
        <v>11</v>
      </c>
      <c r="AC70" s="5" t="s">
        <v>12</v>
      </c>
    </row>
    <row r="71" spans="2:29" x14ac:dyDescent="0.25">
      <c r="C71" s="59" t="s">
        <v>631</v>
      </c>
      <c r="D71">
        <v>5</v>
      </c>
      <c r="E71" s="5" t="s">
        <v>23</v>
      </c>
      <c r="G71" s="59" t="s">
        <v>643</v>
      </c>
      <c r="H71">
        <v>0.85</v>
      </c>
      <c r="I71" s="5" t="s">
        <v>23</v>
      </c>
      <c r="K71" s="6" t="s">
        <v>535</v>
      </c>
      <c r="L71">
        <v>0.13880000000000001</v>
      </c>
      <c r="M71" s="5" t="s">
        <v>23</v>
      </c>
      <c r="O71" s="6" t="s">
        <v>638</v>
      </c>
      <c r="P71">
        <v>1.1100000000000001</v>
      </c>
      <c r="Q71" s="5" t="s">
        <v>23</v>
      </c>
      <c r="S71" s="6" t="s">
        <v>660</v>
      </c>
      <c r="T71">
        <v>1.47</v>
      </c>
      <c r="U71" s="5" t="s">
        <v>23</v>
      </c>
      <c r="W71" s="6" t="s">
        <v>577</v>
      </c>
      <c r="X71">
        <v>0.17</v>
      </c>
      <c r="Y71" s="5" t="s">
        <v>23</v>
      </c>
      <c r="AA71" s="6" t="s">
        <v>613</v>
      </c>
      <c r="AB71">
        <v>9.0999999999999998E-2</v>
      </c>
      <c r="AC71" s="5" t="s">
        <v>23</v>
      </c>
    </row>
    <row r="72" spans="2:29" x14ac:dyDescent="0.25">
      <c r="C72" s="59" t="s">
        <v>632</v>
      </c>
      <c r="D72">
        <v>10.8</v>
      </c>
      <c r="E72" s="5" t="s">
        <v>23</v>
      </c>
      <c r="G72" s="6" t="s">
        <v>651</v>
      </c>
      <c r="H72">
        <v>1.1000000000000001</v>
      </c>
      <c r="I72" s="5" t="s">
        <v>23</v>
      </c>
      <c r="K72" s="6" t="s">
        <v>239</v>
      </c>
      <c r="L72">
        <v>0.86119999999999997</v>
      </c>
      <c r="M72" s="5" t="s">
        <v>23</v>
      </c>
      <c r="O72" s="6" t="s">
        <v>662</v>
      </c>
      <c r="P72" t="s">
        <v>663</v>
      </c>
      <c r="Q72" s="5" t="s">
        <v>23</v>
      </c>
      <c r="S72" s="6" t="s">
        <v>652</v>
      </c>
      <c r="T72">
        <v>17.899999999999999</v>
      </c>
      <c r="U72" s="5" t="s">
        <v>23</v>
      </c>
      <c r="W72" s="6" t="s">
        <v>576</v>
      </c>
      <c r="X72">
        <v>0.53</v>
      </c>
      <c r="Y72" s="5" t="s">
        <v>23</v>
      </c>
      <c r="AA72" s="6" t="s">
        <v>614</v>
      </c>
      <c r="AB72" s="13">
        <v>1.4000000000000001E-10</v>
      </c>
      <c r="AC72" s="5" t="s">
        <v>88</v>
      </c>
    </row>
    <row r="73" spans="2:29" x14ac:dyDescent="0.25">
      <c r="B73" t="s">
        <v>646</v>
      </c>
      <c r="C73" s="59" t="s">
        <v>634</v>
      </c>
      <c r="D73">
        <v>31.8</v>
      </c>
      <c r="E73" s="5" t="s">
        <v>23</v>
      </c>
      <c r="G73" s="6" t="s">
        <v>591</v>
      </c>
      <c r="H73">
        <v>0.1</v>
      </c>
      <c r="I73" s="5" t="s">
        <v>23</v>
      </c>
      <c r="K73" s="6"/>
      <c r="M73" s="5"/>
      <c r="O73" s="6" t="s">
        <v>77</v>
      </c>
      <c r="P73" s="13">
        <v>0.72699999999999998</v>
      </c>
      <c r="Q73" s="5" t="s">
        <v>195</v>
      </c>
      <c r="S73" s="6" t="s">
        <v>77</v>
      </c>
      <c r="T73">
        <v>0.42</v>
      </c>
      <c r="U73" s="5" t="s">
        <v>27</v>
      </c>
      <c r="W73" s="6" t="s">
        <v>566</v>
      </c>
      <c r="X73">
        <v>0.17</v>
      </c>
      <c r="Y73" s="5" t="s">
        <v>23</v>
      </c>
      <c r="AA73" s="6" t="s">
        <v>415</v>
      </c>
      <c r="AB73">
        <v>0.91</v>
      </c>
      <c r="AC73" s="5" t="s">
        <v>23</v>
      </c>
    </row>
    <row r="74" spans="2:29" x14ac:dyDescent="0.25">
      <c r="C74" s="6" t="s">
        <v>661</v>
      </c>
      <c r="D74">
        <v>8.6999999999999993</v>
      </c>
      <c r="E74" s="5" t="s">
        <v>23</v>
      </c>
      <c r="G74" s="6" t="s">
        <v>488</v>
      </c>
      <c r="H74">
        <v>0.05</v>
      </c>
      <c r="I74" s="5" t="s">
        <v>23</v>
      </c>
      <c r="K74" s="99" t="s">
        <v>182</v>
      </c>
      <c r="L74" s="100"/>
      <c r="M74" s="101"/>
      <c r="O74" s="6" t="s">
        <v>664</v>
      </c>
      <c r="P74" s="13">
        <v>0.28999999999999998</v>
      </c>
      <c r="Q74" s="5" t="s">
        <v>237</v>
      </c>
      <c r="S74" s="6"/>
      <c r="U74" s="5"/>
      <c r="W74" s="6" t="s">
        <v>567</v>
      </c>
      <c r="X74">
        <f>3.8*10^(-10)</f>
        <v>3.7999999999999998E-10</v>
      </c>
      <c r="Y74" s="5" t="s">
        <v>88</v>
      </c>
      <c r="AA74" s="6" t="s">
        <v>418</v>
      </c>
      <c r="AB74">
        <v>9.0999999999999998E-2</v>
      </c>
      <c r="AC74" s="5" t="s">
        <v>23</v>
      </c>
    </row>
    <row r="75" spans="2:29" ht="15.75" thickBot="1" x14ac:dyDescent="0.3">
      <c r="C75" s="6" t="s">
        <v>639</v>
      </c>
      <c r="D75">
        <v>1.58</v>
      </c>
      <c r="E75" s="5" t="s">
        <v>23</v>
      </c>
      <c r="G75" s="6" t="s">
        <v>77</v>
      </c>
      <c r="H75">
        <v>4.8300000000000003E-2</v>
      </c>
      <c r="I75" s="5" t="s">
        <v>645</v>
      </c>
      <c r="K75" s="53" t="s">
        <v>634</v>
      </c>
      <c r="L75" s="54">
        <v>1</v>
      </c>
      <c r="M75" s="55" t="s">
        <v>23</v>
      </c>
      <c r="O75" s="99" t="s">
        <v>182</v>
      </c>
      <c r="P75" s="100"/>
      <c r="Q75" s="101"/>
      <c r="S75" s="99" t="s">
        <v>182</v>
      </c>
      <c r="T75" s="100"/>
      <c r="U75" s="101"/>
      <c r="W75" s="6" t="s">
        <v>578</v>
      </c>
      <c r="X75">
        <v>0.25</v>
      </c>
      <c r="Y75" s="5" t="s">
        <v>23</v>
      </c>
      <c r="AA75" s="6" t="s">
        <v>615</v>
      </c>
      <c r="AB75">
        <v>0.91</v>
      </c>
      <c r="AC75" s="5" t="s">
        <v>23</v>
      </c>
    </row>
    <row r="76" spans="2:29" x14ac:dyDescent="0.25">
      <c r="C76" s="6" t="s">
        <v>635</v>
      </c>
      <c r="D76">
        <v>8.35</v>
      </c>
      <c r="E76" s="5" t="s">
        <v>23</v>
      </c>
      <c r="G76" s="6" t="s">
        <v>650</v>
      </c>
      <c r="H76">
        <v>1.1000000000000001</v>
      </c>
      <c r="I76" s="5" t="s">
        <v>23</v>
      </c>
      <c r="O76" s="33" t="s">
        <v>649</v>
      </c>
      <c r="P76" s="34">
        <v>1</v>
      </c>
      <c r="Q76" s="35" t="s">
        <v>23</v>
      </c>
      <c r="S76" s="33" t="s">
        <v>643</v>
      </c>
      <c r="T76" s="34">
        <v>1</v>
      </c>
      <c r="U76" s="35" t="s">
        <v>23</v>
      </c>
      <c r="W76" s="6" t="s">
        <v>580</v>
      </c>
      <c r="X76">
        <f>1.3*10^(-10)</f>
        <v>1.3000000000000002E-10</v>
      </c>
      <c r="Y76" s="5" t="s">
        <v>88</v>
      </c>
      <c r="AA76" s="6" t="s">
        <v>616</v>
      </c>
      <c r="AB76" s="13">
        <v>6.7000000000000001E-11</v>
      </c>
      <c r="AC76" s="5" t="s">
        <v>88</v>
      </c>
    </row>
    <row r="77" spans="2:29" x14ac:dyDescent="0.25">
      <c r="C77" s="6" t="s">
        <v>77</v>
      </c>
      <c r="D77">
        <v>10.56</v>
      </c>
      <c r="E77" s="5" t="s">
        <v>195</v>
      </c>
      <c r="G77" s="6" t="s">
        <v>229</v>
      </c>
      <c r="H77">
        <v>140.44999999999999</v>
      </c>
      <c r="I77" s="5" t="s">
        <v>27</v>
      </c>
      <c r="O77" s="6" t="s">
        <v>665</v>
      </c>
      <c r="P77" s="13">
        <v>7.8999999999999996E-5</v>
      </c>
      <c r="Q77" s="5" t="s">
        <v>23</v>
      </c>
      <c r="S77" s="6" t="s">
        <v>658</v>
      </c>
      <c r="T77">
        <v>0.3</v>
      </c>
      <c r="U77" s="5" t="s">
        <v>23</v>
      </c>
      <c r="W77" s="6" t="s">
        <v>569</v>
      </c>
      <c r="X77">
        <v>0.14499999999999999</v>
      </c>
      <c r="Y77" s="5" t="s">
        <v>450</v>
      </c>
      <c r="AA77" s="6" t="s">
        <v>569</v>
      </c>
      <c r="AB77">
        <v>0.15</v>
      </c>
      <c r="AC77" s="5" t="s">
        <v>450</v>
      </c>
    </row>
    <row r="78" spans="2:29" ht="15.75" thickBot="1" x14ac:dyDescent="0.3">
      <c r="C78" s="6"/>
      <c r="E78" s="5"/>
      <c r="G78" s="6"/>
      <c r="I78" s="5"/>
      <c r="O78" s="6" t="s">
        <v>666</v>
      </c>
      <c r="P78" s="13">
        <v>7.8999999999999996E-5</v>
      </c>
      <c r="Q78" s="5" t="s">
        <v>23</v>
      </c>
      <c r="S78" s="7" t="s">
        <v>653</v>
      </c>
      <c r="T78" s="8">
        <v>4.87</v>
      </c>
      <c r="U78" s="9" t="s">
        <v>23</v>
      </c>
      <c r="W78" s="6" t="s">
        <v>570</v>
      </c>
      <c r="X78">
        <v>0.14499999999999999</v>
      </c>
      <c r="Y78" s="5" t="s">
        <v>450</v>
      </c>
      <c r="AA78" s="6" t="s">
        <v>570</v>
      </c>
      <c r="AB78">
        <v>0.15</v>
      </c>
      <c r="AC78" s="5" t="s">
        <v>450</v>
      </c>
    </row>
    <row r="79" spans="2:29" ht="15.75" thickBot="1" x14ac:dyDescent="0.3">
      <c r="C79" s="99" t="s">
        <v>182</v>
      </c>
      <c r="D79" s="100"/>
      <c r="E79" s="101"/>
      <c r="G79" s="99" t="s">
        <v>182</v>
      </c>
      <c r="H79" s="100"/>
      <c r="I79" s="101"/>
      <c r="O79" s="7" t="s">
        <v>637</v>
      </c>
      <c r="P79" s="61">
        <v>4.4000000000000002E-4</v>
      </c>
      <c r="Q79" s="9" t="s">
        <v>23</v>
      </c>
      <c r="W79" s="6"/>
      <c r="Y79" s="5"/>
      <c r="AA79" s="6"/>
      <c r="AC79" s="5"/>
    </row>
    <row r="80" spans="2:29" ht="15.75" thickBot="1" x14ac:dyDescent="0.3">
      <c r="C80" s="53" t="s">
        <v>607</v>
      </c>
      <c r="D80" s="54">
        <v>1.4999999999999999E-2</v>
      </c>
      <c r="E80" s="55" t="s">
        <v>195</v>
      </c>
      <c r="G80" s="53" t="s">
        <v>631</v>
      </c>
      <c r="H80" s="54">
        <v>1</v>
      </c>
      <c r="I80" s="55" t="s">
        <v>23</v>
      </c>
      <c r="W80" s="56" t="s">
        <v>182</v>
      </c>
      <c r="X80" s="57"/>
      <c r="Y80" s="58"/>
      <c r="AA80" s="76" t="s">
        <v>587</v>
      </c>
      <c r="AB80" s="77"/>
      <c r="AC80" s="78"/>
    </row>
    <row r="81" spans="3:29" ht="15.75" thickBot="1" x14ac:dyDescent="0.3">
      <c r="W81" s="53" t="s">
        <v>684</v>
      </c>
      <c r="X81" s="54">
        <v>1</v>
      </c>
      <c r="Y81" s="55" t="s">
        <v>23</v>
      </c>
      <c r="AA81" s="23" t="s">
        <v>617</v>
      </c>
      <c r="AB81" s="24">
        <v>1</v>
      </c>
      <c r="AC81" s="25" t="s">
        <v>23</v>
      </c>
    </row>
    <row r="83" spans="3:29" x14ac:dyDescent="0.25">
      <c r="C83" t="s">
        <v>84</v>
      </c>
      <c r="D83" t="s">
        <v>655</v>
      </c>
    </row>
    <row r="84" spans="3:29" x14ac:dyDescent="0.25">
      <c r="D84" t="s">
        <v>656</v>
      </c>
    </row>
    <row r="85" spans="3:29" x14ac:dyDescent="0.25">
      <c r="D85" t="s">
        <v>659</v>
      </c>
    </row>
    <row r="86" spans="3:29" x14ac:dyDescent="0.25">
      <c r="D86" t="s">
        <v>670</v>
      </c>
    </row>
  </sheetData>
  <mergeCells count="45">
    <mergeCell ref="W68:Y68"/>
    <mergeCell ref="W69:Y69"/>
    <mergeCell ref="AA68:AC68"/>
    <mergeCell ref="AA69:AC69"/>
    <mergeCell ref="AA80:AC80"/>
    <mergeCell ref="B2:C2"/>
    <mergeCell ref="C68:E68"/>
    <mergeCell ref="C69:E69"/>
    <mergeCell ref="B61:E61"/>
    <mergeCell ref="G41:I41"/>
    <mergeCell ref="B42:D42"/>
    <mergeCell ref="G42:I42"/>
    <mergeCell ref="G43:I43"/>
    <mergeCell ref="B44:E44"/>
    <mergeCell ref="G44:I44"/>
    <mergeCell ref="B12:B21"/>
    <mergeCell ref="B22:B27"/>
    <mergeCell ref="B30:E30"/>
    <mergeCell ref="B46:B53"/>
    <mergeCell ref="B54:B59"/>
    <mergeCell ref="G79:I79"/>
    <mergeCell ref="B41:D41"/>
    <mergeCell ref="C79:E79"/>
    <mergeCell ref="B6:E6"/>
    <mergeCell ref="G6:J6"/>
    <mergeCell ref="B7:D7"/>
    <mergeCell ref="G7:I7"/>
    <mergeCell ref="B8:D8"/>
    <mergeCell ref="G8:I8"/>
    <mergeCell ref="K68:M68"/>
    <mergeCell ref="K69:M69"/>
    <mergeCell ref="K74:M74"/>
    <mergeCell ref="G9:I9"/>
    <mergeCell ref="B10:E10"/>
    <mergeCell ref="G10:I10"/>
    <mergeCell ref="B40:E40"/>
    <mergeCell ref="G40:J40"/>
    <mergeCell ref="G68:I68"/>
    <mergeCell ref="G69:I69"/>
    <mergeCell ref="S68:U68"/>
    <mergeCell ref="S69:U69"/>
    <mergeCell ref="S75:U75"/>
    <mergeCell ref="O68:Q68"/>
    <mergeCell ref="O69:Q69"/>
    <mergeCell ref="O75:Q75"/>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E945A-EA6B-46A0-A8C5-01A14D9AFD3B}">
  <dimension ref="A1:V50"/>
  <sheetViews>
    <sheetView tabSelected="1" zoomScale="115" zoomScaleNormal="115" workbookViewId="0">
      <selection activeCell="F26" sqref="F26"/>
    </sheetView>
  </sheetViews>
  <sheetFormatPr defaultRowHeight="15" x14ac:dyDescent="0.25"/>
  <cols>
    <col min="3" max="6" width="10.5703125" customWidth="1"/>
    <col min="7" max="8" width="11.7109375" customWidth="1"/>
    <col min="9" max="9" width="9.42578125" customWidth="1"/>
    <col min="10" max="10" width="10.5703125" customWidth="1"/>
    <col min="11" max="11" width="9.42578125" customWidth="1"/>
    <col min="12" max="12" width="9.42578125" bestFit="1" customWidth="1"/>
    <col min="13" max="13" width="10.5703125" bestFit="1" customWidth="1"/>
    <col min="14" max="14" width="11.7109375" bestFit="1" customWidth="1"/>
    <col min="15" max="15" width="10.5703125" bestFit="1" customWidth="1"/>
    <col min="16" max="16" width="9.42578125" bestFit="1" customWidth="1"/>
    <col min="17" max="17" width="10.5703125" bestFit="1" customWidth="1"/>
    <col min="18" max="18" width="9.42578125" bestFit="1" customWidth="1"/>
    <col min="19" max="19" width="10.5703125" bestFit="1" customWidth="1"/>
    <col min="20" max="20" width="11.7109375" bestFit="1" customWidth="1"/>
    <col min="21" max="21" width="11.5703125" customWidth="1"/>
  </cols>
  <sheetData>
    <row r="1" spans="1:21" x14ac:dyDescent="0.25">
      <c r="A1" s="64"/>
      <c r="B1" s="65"/>
      <c r="C1" s="109" t="s">
        <v>676</v>
      </c>
      <c r="D1" s="110"/>
      <c r="E1" s="110"/>
      <c r="F1" s="110"/>
      <c r="G1" s="110"/>
      <c r="H1" s="110"/>
      <c r="I1" s="110"/>
      <c r="J1" s="110"/>
      <c r="K1" s="111"/>
      <c r="L1" s="109" t="s">
        <v>677</v>
      </c>
      <c r="M1" s="110"/>
      <c r="N1" s="110"/>
      <c r="O1" s="110"/>
      <c r="P1" s="110"/>
      <c r="Q1" s="110"/>
      <c r="R1" s="110"/>
      <c r="S1" s="110"/>
      <c r="T1" s="110"/>
      <c r="U1" s="66" t="s">
        <v>678</v>
      </c>
    </row>
    <row r="2" spans="1:21" x14ac:dyDescent="0.25">
      <c r="A2" s="6" t="s">
        <v>162</v>
      </c>
      <c r="B2" t="s">
        <v>12</v>
      </c>
      <c r="C2" s="62" t="s">
        <v>671</v>
      </c>
      <c r="D2" t="s">
        <v>672</v>
      </c>
      <c r="E2" t="s">
        <v>608</v>
      </c>
      <c r="F2" t="s">
        <v>673</v>
      </c>
      <c r="G2" t="s">
        <v>609</v>
      </c>
      <c r="H2" t="s">
        <v>595</v>
      </c>
      <c r="I2" t="s">
        <v>674</v>
      </c>
      <c r="J2" t="s">
        <v>675</v>
      </c>
      <c r="K2" s="63" t="s">
        <v>607</v>
      </c>
      <c r="L2" s="62" t="s">
        <v>671</v>
      </c>
      <c r="M2" t="s">
        <v>672</v>
      </c>
      <c r="N2" t="s">
        <v>608</v>
      </c>
      <c r="O2" t="s">
        <v>673</v>
      </c>
      <c r="P2" t="s">
        <v>609</v>
      </c>
      <c r="Q2" t="s">
        <v>595</v>
      </c>
      <c r="R2" t="s">
        <v>674</v>
      </c>
      <c r="S2" t="s">
        <v>675</v>
      </c>
      <c r="T2" t="s">
        <v>607</v>
      </c>
      <c r="U2" s="67" t="s">
        <v>679</v>
      </c>
    </row>
    <row r="3" spans="1:21" x14ac:dyDescent="0.25">
      <c r="A3" s="6" t="s">
        <v>39</v>
      </c>
      <c r="B3" t="s">
        <v>40</v>
      </c>
      <c r="C3" s="125">
        <v>200.18838983050847</v>
      </c>
      <c r="D3" s="126">
        <v>82.851923999999997</v>
      </c>
      <c r="E3" s="126">
        <v>85.039855000000003</v>
      </c>
      <c r="F3" s="126">
        <v>593.61167999999998</v>
      </c>
      <c r="G3" s="126">
        <v>562.36321333333342</v>
      </c>
      <c r="H3" s="126">
        <v>347.59114</v>
      </c>
      <c r="I3" s="126">
        <v>44.055226960719189</v>
      </c>
      <c r="J3" s="126">
        <v>44.806373499845002</v>
      </c>
      <c r="K3" s="127">
        <v>44.055226960719189</v>
      </c>
      <c r="L3" s="125">
        <v>109.25253012048192</v>
      </c>
      <c r="M3" s="126">
        <v>311.3840222222222</v>
      </c>
      <c r="N3" s="126">
        <v>2525.3782000000001</v>
      </c>
      <c r="O3" s="126">
        <v>68.228094400165617</v>
      </c>
      <c r="P3" s="126">
        <v>66.654033333333331</v>
      </c>
      <c r="Q3" s="126">
        <v>114.44155000000001</v>
      </c>
      <c r="R3" s="126">
        <v>76.386801293122531</v>
      </c>
      <c r="S3" s="126">
        <v>73.608928745405422</v>
      </c>
      <c r="T3" s="126">
        <v>40341.337407555024</v>
      </c>
      <c r="U3" s="114">
        <v>0.69017450999999996</v>
      </c>
    </row>
    <row r="4" spans="1:21" x14ac:dyDescent="0.25">
      <c r="A4" s="6" t="s">
        <v>41</v>
      </c>
      <c r="B4" t="s">
        <v>42</v>
      </c>
      <c r="C4" s="128">
        <v>6.8539554237288146E-5</v>
      </c>
      <c r="D4" s="13">
        <v>2.3972731999999999E-5</v>
      </c>
      <c r="E4" s="13">
        <v>3.9015951E-5</v>
      </c>
      <c r="F4" s="13">
        <v>2.4327247000000001E-3</v>
      </c>
      <c r="G4" s="13">
        <v>5.6775167999999999E-3</v>
      </c>
      <c r="H4" s="13">
        <v>3.8589454000000003E-4</v>
      </c>
      <c r="I4" s="13">
        <v>1.8346031619503121E-5</v>
      </c>
      <c r="J4" s="13">
        <v>1.9954843452460035E-5</v>
      </c>
      <c r="K4" s="129">
        <v>1.8346031619503121E-5</v>
      </c>
      <c r="L4" s="128">
        <v>3.4890056395795951E-5</v>
      </c>
      <c r="M4" s="13">
        <v>3.3108575555555556E-5</v>
      </c>
      <c r="N4" s="13">
        <v>7.6794988000000004E-4</v>
      </c>
      <c r="O4" s="13">
        <v>1.8076050098333506E-5</v>
      </c>
      <c r="P4" s="13">
        <v>2.2899319333333331E-5</v>
      </c>
      <c r="Q4" s="13">
        <v>3.19501435E-5</v>
      </c>
      <c r="R4" s="13">
        <v>2.1760463221292238E-4</v>
      </c>
      <c r="S4" s="13">
        <v>3.3249437137416413E-5</v>
      </c>
      <c r="T4" s="13">
        <v>1.2920579248040388E-2</v>
      </c>
      <c r="U4" s="114">
        <v>2.3928829999999999E-7</v>
      </c>
    </row>
    <row r="5" spans="1:21" x14ac:dyDescent="0.25">
      <c r="A5" s="6" t="s">
        <v>43</v>
      </c>
      <c r="B5" t="s">
        <v>44</v>
      </c>
      <c r="C5" s="119">
        <v>9.4314474576271188</v>
      </c>
      <c r="D5" s="120">
        <v>4.9521298000000007</v>
      </c>
      <c r="E5" s="120">
        <v>2.0957743</v>
      </c>
      <c r="F5" s="120">
        <v>37.654046000000001</v>
      </c>
      <c r="G5" s="120">
        <v>24.061357333333333</v>
      </c>
      <c r="H5" s="120">
        <v>16.1670786</v>
      </c>
      <c r="I5" s="120">
        <v>2.7640071741729773</v>
      </c>
      <c r="J5" s="120">
        <v>2.8356203002524247</v>
      </c>
      <c r="K5" s="121">
        <v>2.7640071741729773</v>
      </c>
      <c r="L5" s="119">
        <v>7.279247372468598</v>
      </c>
      <c r="M5" s="120">
        <v>14.670638444444444</v>
      </c>
      <c r="N5" s="120">
        <v>230.24382000000003</v>
      </c>
      <c r="O5" s="120">
        <v>3.9473822585653662</v>
      </c>
      <c r="P5" s="120">
        <v>2.2115967333333333</v>
      </c>
      <c r="Q5" s="120">
        <v>4.8074504500000002</v>
      </c>
      <c r="R5" s="120">
        <v>4.6069622248793234</v>
      </c>
      <c r="S5" s="120">
        <v>5.6588733891324567</v>
      </c>
      <c r="T5" s="120">
        <v>1237.4360745759709</v>
      </c>
      <c r="U5" s="114">
        <v>8.2025475E-2</v>
      </c>
    </row>
    <row r="6" spans="1:21" x14ac:dyDescent="0.25">
      <c r="A6" s="6" t="s">
        <v>45</v>
      </c>
      <c r="B6" t="s">
        <v>46</v>
      </c>
      <c r="C6" s="112">
        <v>1.1087481355932203</v>
      </c>
      <c r="D6" s="70">
        <v>0.25813270999999999</v>
      </c>
      <c r="E6" s="70">
        <v>0.30788869000000002</v>
      </c>
      <c r="F6" s="70">
        <v>4.6563591999999998</v>
      </c>
      <c r="G6" s="70">
        <v>1.7416916</v>
      </c>
      <c r="H6" s="70">
        <v>3.9614623999999998</v>
      </c>
      <c r="I6" s="70">
        <v>0.14151768300783846</v>
      </c>
      <c r="J6" s="70">
        <v>0.15386097161330323</v>
      </c>
      <c r="K6" s="113">
        <v>0.14151768300783846</v>
      </c>
      <c r="L6" s="112">
        <v>0.55233986157395543</v>
      </c>
      <c r="M6" s="70">
        <v>0.67514402222222225</v>
      </c>
      <c r="N6" s="70">
        <v>6.1822019999999993</v>
      </c>
      <c r="O6" s="70">
        <v>0.17181813476865748</v>
      </c>
      <c r="P6" s="70">
        <v>0.37324283333333336</v>
      </c>
      <c r="Q6" s="70">
        <v>0.31603028499999997</v>
      </c>
      <c r="R6" s="70">
        <v>0.17053720384393961</v>
      </c>
      <c r="S6" s="70">
        <v>0.24494397059474782</v>
      </c>
      <c r="T6" s="70">
        <v>95.277427926132589</v>
      </c>
      <c r="U6" s="114">
        <v>1.6204317000000001E-3</v>
      </c>
    </row>
    <row r="7" spans="1:21" x14ac:dyDescent="0.25">
      <c r="A7" s="6" t="s">
        <v>47</v>
      </c>
      <c r="B7" t="s">
        <v>48</v>
      </c>
      <c r="C7" s="112">
        <v>0.64000083050847456</v>
      </c>
      <c r="D7" s="70">
        <v>0.28996704000000001</v>
      </c>
      <c r="E7" s="70">
        <v>0.42523137</v>
      </c>
      <c r="F7" s="70">
        <v>8.6621159999999993</v>
      </c>
      <c r="G7" s="70">
        <v>2.2981081333333337</v>
      </c>
      <c r="H7" s="70">
        <v>1.4594311</v>
      </c>
      <c r="I7" s="70">
        <v>0.16934404145077722</v>
      </c>
      <c r="J7" s="70">
        <v>0.19705898764447988</v>
      </c>
      <c r="K7" s="113">
        <v>0.16934404145077722</v>
      </c>
      <c r="L7" s="112">
        <v>0.22179968469623174</v>
      </c>
      <c r="M7" s="70">
        <v>0.26620226666666669</v>
      </c>
      <c r="N7" s="70">
        <v>6.3220896</v>
      </c>
      <c r="O7" s="70">
        <v>0.23775608115101954</v>
      </c>
      <c r="P7" s="70">
        <v>0.55122709999999997</v>
      </c>
      <c r="Q7" s="70">
        <v>0.32807727999999997</v>
      </c>
      <c r="R7" s="70">
        <v>0.12661904255790266</v>
      </c>
      <c r="S7" s="70">
        <v>0.35666175102962666</v>
      </c>
      <c r="T7" s="70">
        <v>68.300834329746252</v>
      </c>
      <c r="U7" s="114">
        <v>1.4738041E-3</v>
      </c>
    </row>
    <row r="8" spans="1:21" x14ac:dyDescent="0.25">
      <c r="A8" s="6" t="s">
        <v>49</v>
      </c>
      <c r="B8" t="s">
        <v>46</v>
      </c>
      <c r="C8" s="112">
        <v>1.1376399152542374</v>
      </c>
      <c r="D8" s="70">
        <v>0.26550151</v>
      </c>
      <c r="E8" s="70">
        <v>0.31439307999999999</v>
      </c>
      <c r="F8" s="70">
        <v>4.7844490000000004</v>
      </c>
      <c r="G8" s="70">
        <v>1.7995770666666668</v>
      </c>
      <c r="H8" s="70">
        <v>4.0645404000000003</v>
      </c>
      <c r="I8" s="70">
        <v>0.15150990655861124</v>
      </c>
      <c r="J8" s="70">
        <v>0.16412991452991454</v>
      </c>
      <c r="K8" s="113">
        <v>0.15150990655861124</v>
      </c>
      <c r="L8" s="112">
        <v>0.56647977441681618</v>
      </c>
      <c r="M8" s="70">
        <v>0.69648088888888893</v>
      </c>
      <c r="N8" s="70">
        <v>6.3261854</v>
      </c>
      <c r="O8" s="70">
        <v>0.17753034882517338</v>
      </c>
      <c r="P8" s="70">
        <v>0.38232890000000003</v>
      </c>
      <c r="Q8" s="70">
        <v>0.32638995999999998</v>
      </c>
      <c r="R8" s="70">
        <v>0.17724613613214651</v>
      </c>
      <c r="S8" s="70">
        <v>0.2515508524866038</v>
      </c>
      <c r="T8" s="70">
        <v>98.461644745582575</v>
      </c>
      <c r="U8" s="114">
        <v>1.6525356999999999E-3</v>
      </c>
    </row>
    <row r="9" spans="1:21" x14ac:dyDescent="0.25">
      <c r="A9" s="6" t="s">
        <v>50</v>
      </c>
      <c r="B9" t="s">
        <v>51</v>
      </c>
      <c r="C9" s="116">
        <v>1.3414826271186442</v>
      </c>
      <c r="D9" s="117">
        <v>0.73942080999999993</v>
      </c>
      <c r="E9" s="117">
        <v>1.0494960499999999</v>
      </c>
      <c r="F9" s="117">
        <v>29.434808</v>
      </c>
      <c r="G9" s="117">
        <v>6.1585462666666659</v>
      </c>
      <c r="H9" s="117">
        <v>3.7367674000000002</v>
      </c>
      <c r="I9" s="117">
        <v>0.4630971967583366</v>
      </c>
      <c r="J9" s="117">
        <v>0.54368609893273112</v>
      </c>
      <c r="K9" s="118">
        <v>0.4630971967583366</v>
      </c>
      <c r="L9" s="116">
        <v>0.38351922583952835</v>
      </c>
      <c r="M9" s="117">
        <v>0.55281131111111115</v>
      </c>
      <c r="N9" s="117">
        <v>12.2516126</v>
      </c>
      <c r="O9" s="117">
        <v>0.25570387123486182</v>
      </c>
      <c r="P9" s="117">
        <v>1.7447614999999999</v>
      </c>
      <c r="Q9" s="117">
        <v>0.90859325000000002</v>
      </c>
      <c r="R9" s="117">
        <v>0.24139216155174703</v>
      </c>
      <c r="S9" s="117">
        <v>1.2283601257694523</v>
      </c>
      <c r="T9" s="117">
        <v>145.48816261458748</v>
      </c>
      <c r="U9" s="114">
        <v>2.2513873999999998E-3</v>
      </c>
    </row>
    <row r="10" spans="1:21" x14ac:dyDescent="0.25">
      <c r="A10" s="6" t="s">
        <v>52</v>
      </c>
      <c r="B10" t="s">
        <v>53</v>
      </c>
      <c r="C10" s="112">
        <v>0.18973490677966104</v>
      </c>
      <c r="D10" s="70">
        <v>0.10547843</v>
      </c>
      <c r="E10" s="70">
        <v>0.15867252000000001</v>
      </c>
      <c r="F10" s="70">
        <v>0.68062164999999997</v>
      </c>
      <c r="G10" s="70">
        <v>0.92756776000000007</v>
      </c>
      <c r="H10" s="70">
        <v>2.4428222000000002</v>
      </c>
      <c r="I10" s="70">
        <v>5.8888727691421998E-2</v>
      </c>
      <c r="J10" s="70">
        <v>7.1179854745139728E-2</v>
      </c>
      <c r="K10" s="113">
        <v>5.8888727691421998E-2</v>
      </c>
      <c r="L10" s="112">
        <v>4.1637897974878234E-2</v>
      </c>
      <c r="M10" s="70">
        <v>8.1409797777777779E-2</v>
      </c>
      <c r="N10" s="70">
        <v>1.7575989000000001</v>
      </c>
      <c r="O10" s="70">
        <v>8.157511127212505E-2</v>
      </c>
      <c r="P10" s="70">
        <v>3.0297580000000001E-2</v>
      </c>
      <c r="Q10" s="70">
        <v>7.2504674999999991E-2</v>
      </c>
      <c r="R10" s="70">
        <v>3.5766715380186886E-2</v>
      </c>
      <c r="S10" s="70">
        <v>0.10777739692661972</v>
      </c>
      <c r="T10" s="70">
        <v>19.635209246711838</v>
      </c>
      <c r="U10" s="114">
        <v>4.3828583E-4</v>
      </c>
    </row>
    <row r="11" spans="1:21" x14ac:dyDescent="0.25">
      <c r="A11" s="6" t="s">
        <v>54</v>
      </c>
      <c r="B11" t="s">
        <v>55</v>
      </c>
      <c r="C11" s="112">
        <v>6.2103608474576273E-3</v>
      </c>
      <c r="D11" s="70">
        <v>3.3246606999999999E-3</v>
      </c>
      <c r="E11" s="70">
        <v>7.0169515000000002E-3</v>
      </c>
      <c r="F11" s="70">
        <v>2.7470034000000001E-2</v>
      </c>
      <c r="G11" s="70">
        <v>3.7667054666666665E-2</v>
      </c>
      <c r="H11" s="70">
        <v>2.7665351999999997E-2</v>
      </c>
      <c r="I11" s="70">
        <v>2.0630521234666316E-3</v>
      </c>
      <c r="J11" s="70">
        <v>2.3270490235153449E-3</v>
      </c>
      <c r="K11" s="113">
        <v>2.0630521234666316E-3</v>
      </c>
      <c r="L11" s="112">
        <v>2.258123147910792E-3</v>
      </c>
      <c r="M11" s="70">
        <v>6.4605028888888886E-3</v>
      </c>
      <c r="N11" s="70">
        <v>8.7896191999999998E-2</v>
      </c>
      <c r="O11" s="70">
        <v>2.2796246765345203E-3</v>
      </c>
      <c r="P11" s="70">
        <v>3.549265666666667E-3</v>
      </c>
      <c r="Q11" s="70">
        <v>3.5754107499999998E-3</v>
      </c>
      <c r="R11" s="70">
        <v>2.3522713785926225E-3</v>
      </c>
      <c r="S11" s="70">
        <v>8.0290963199149742E-3</v>
      </c>
      <c r="T11" s="70">
        <v>2.838359771489305</v>
      </c>
      <c r="U11" s="114">
        <v>2.2512479000000001E-5</v>
      </c>
    </row>
    <row r="12" spans="1:21" x14ac:dyDescent="0.25">
      <c r="A12" s="6" t="s">
        <v>56</v>
      </c>
      <c r="B12" t="s">
        <v>57</v>
      </c>
      <c r="C12" s="130">
        <v>5972.7180508474576</v>
      </c>
      <c r="D12" s="131">
        <v>1666.0252</v>
      </c>
      <c r="E12" s="131">
        <v>5823.5815000000002</v>
      </c>
      <c r="F12" s="131">
        <v>2615.9693000000002</v>
      </c>
      <c r="G12" s="131">
        <v>32055.378666666667</v>
      </c>
      <c r="H12" s="131">
        <v>3692.2656000000002</v>
      </c>
      <c r="I12" s="131">
        <v>885.69204198219745</v>
      </c>
      <c r="J12" s="131">
        <v>1430.7955360701476</v>
      </c>
      <c r="K12" s="132">
        <v>885.69204198219745</v>
      </c>
      <c r="L12" s="130">
        <v>148.94245578056908</v>
      </c>
      <c r="M12" s="131">
        <v>1022.1080222222222</v>
      </c>
      <c r="N12" s="131">
        <v>17748.471399999999</v>
      </c>
      <c r="O12" s="131">
        <v>2053.0323983024532</v>
      </c>
      <c r="P12" s="131">
        <v>338.66703333333334</v>
      </c>
      <c r="Q12" s="131">
        <v>2085.0345499999999</v>
      </c>
      <c r="R12" s="131">
        <v>162.39613834639741</v>
      </c>
      <c r="S12" s="131">
        <v>2536.4289446880121</v>
      </c>
      <c r="T12" s="131">
        <v>91635.738009831271</v>
      </c>
      <c r="U12" s="114">
        <v>0.47590357</v>
      </c>
    </row>
    <row r="13" spans="1:21" x14ac:dyDescent="0.25">
      <c r="A13" s="6" t="s">
        <v>58</v>
      </c>
      <c r="B13" t="s">
        <v>57</v>
      </c>
      <c r="C13" s="125">
        <v>110.33054237288135</v>
      </c>
      <c r="D13" s="126">
        <v>67.828712999999993</v>
      </c>
      <c r="E13" s="126">
        <v>107.60511000000001</v>
      </c>
      <c r="F13" s="126">
        <v>234.16899000000001</v>
      </c>
      <c r="G13" s="126">
        <v>647.08226666666667</v>
      </c>
      <c r="H13" s="126">
        <v>1716.97612</v>
      </c>
      <c r="I13" s="126">
        <v>37.873286391213853</v>
      </c>
      <c r="J13" s="126">
        <v>48.199323324919185</v>
      </c>
      <c r="K13" s="127">
        <v>37.873286391213853</v>
      </c>
      <c r="L13" s="125">
        <v>2.2566240451166371</v>
      </c>
      <c r="M13" s="126">
        <v>23.548955555555555</v>
      </c>
      <c r="N13" s="126">
        <v>371.19335999999998</v>
      </c>
      <c r="O13" s="126">
        <v>42.438422523548283</v>
      </c>
      <c r="P13" s="126">
        <v>9.7624953333333337</v>
      </c>
      <c r="Q13" s="126">
        <v>43.488838000000001</v>
      </c>
      <c r="R13" s="126">
        <v>5.3427451397192325</v>
      </c>
      <c r="S13" s="126">
        <v>60.41333776183518</v>
      </c>
      <c r="T13" s="126">
        <v>3418.0462335591869</v>
      </c>
      <c r="U13" s="114">
        <v>1.8202863999999999E-2</v>
      </c>
    </row>
    <row r="14" spans="1:21" x14ac:dyDescent="0.25">
      <c r="A14" s="6" t="s">
        <v>59</v>
      </c>
      <c r="B14" t="s">
        <v>57</v>
      </c>
      <c r="C14" s="125">
        <v>140.94097457627117</v>
      </c>
      <c r="D14" s="126">
        <v>87.674841999999998</v>
      </c>
      <c r="E14" s="126">
        <v>136.57871499999999</v>
      </c>
      <c r="F14" s="126">
        <v>298.02913000000001</v>
      </c>
      <c r="G14" s="126">
        <v>819.19550666666669</v>
      </c>
      <c r="H14" s="126">
        <v>2205.4901999999997</v>
      </c>
      <c r="I14" s="126">
        <v>47.744691554846995</v>
      </c>
      <c r="J14" s="126">
        <v>60.779204641069924</v>
      </c>
      <c r="K14" s="127">
        <v>47.744691554846995</v>
      </c>
      <c r="L14" s="125">
        <v>3.0954914124583439</v>
      </c>
      <c r="M14" s="126">
        <v>32.754686666666665</v>
      </c>
      <c r="N14" s="126">
        <v>495.90309999999999</v>
      </c>
      <c r="O14" s="126">
        <v>55.509578718559162</v>
      </c>
      <c r="P14" s="126">
        <v>12.959742333333333</v>
      </c>
      <c r="Q14" s="126">
        <v>59.609785000000002</v>
      </c>
      <c r="R14" s="126">
        <v>7.0801120410964975</v>
      </c>
      <c r="S14" s="126">
        <v>76.385518798990304</v>
      </c>
      <c r="T14" s="126">
        <v>4587.6467826934149</v>
      </c>
      <c r="U14" s="114">
        <v>2.4590339999999999E-2</v>
      </c>
    </row>
    <row r="15" spans="1:21" x14ac:dyDescent="0.25">
      <c r="A15" s="6" t="s">
        <v>60</v>
      </c>
      <c r="B15" t="s">
        <v>57</v>
      </c>
      <c r="C15" s="130">
        <v>315.935</v>
      </c>
      <c r="D15" s="131">
        <v>708.49110999999994</v>
      </c>
      <c r="E15" s="131">
        <v>143.90811000000002</v>
      </c>
      <c r="F15" s="131">
        <v>303.94495999999998</v>
      </c>
      <c r="G15" s="131">
        <v>369.6438133333333</v>
      </c>
      <c r="H15" s="131">
        <v>242.5147</v>
      </c>
      <c r="I15" s="131">
        <v>57.379054072007442</v>
      </c>
      <c r="J15" s="131">
        <v>58.762570302466685</v>
      </c>
      <c r="K15" s="132">
        <v>57.379054072007442</v>
      </c>
      <c r="L15" s="130">
        <v>14.44747782619841</v>
      </c>
      <c r="M15" s="131">
        <v>758.63317777777775</v>
      </c>
      <c r="N15" s="131">
        <v>4998.2174000000005</v>
      </c>
      <c r="O15" s="131">
        <v>409.91312493530694</v>
      </c>
      <c r="P15" s="131">
        <v>118.86350666666667</v>
      </c>
      <c r="Q15" s="131">
        <v>35.750020499999998</v>
      </c>
      <c r="R15" s="131">
        <v>54.288585093662817</v>
      </c>
      <c r="S15" s="131">
        <v>63.081283379832598</v>
      </c>
      <c r="T15" s="131">
        <v>52359.590806430184</v>
      </c>
      <c r="U15" s="114">
        <v>8.6357102000000005E-2</v>
      </c>
    </row>
    <row r="16" spans="1:21" x14ac:dyDescent="0.25">
      <c r="A16" s="6" t="s">
        <v>61</v>
      </c>
      <c r="B16" t="s">
        <v>57</v>
      </c>
      <c r="C16" s="130">
        <v>1753.1622033898304</v>
      </c>
      <c r="D16" s="131">
        <v>1103.3386</v>
      </c>
      <c r="E16" s="131">
        <v>1434.13085</v>
      </c>
      <c r="F16" s="131">
        <v>7704.3053</v>
      </c>
      <c r="G16" s="131">
        <v>8804.9409333333333</v>
      </c>
      <c r="H16" s="131">
        <v>28082.102000000003</v>
      </c>
      <c r="I16" s="131">
        <v>592.35403215092299</v>
      </c>
      <c r="J16" s="131">
        <v>726.9844825295603</v>
      </c>
      <c r="K16" s="132">
        <v>592.35403215092333</v>
      </c>
      <c r="L16" s="130">
        <v>78.988569597539097</v>
      </c>
      <c r="M16" s="131">
        <v>399.82304444444446</v>
      </c>
      <c r="N16" s="131">
        <v>8424.6101999999992</v>
      </c>
      <c r="O16" s="131">
        <v>1454.8184452955181</v>
      </c>
      <c r="P16" s="131">
        <v>222.01523333333336</v>
      </c>
      <c r="Q16" s="131">
        <v>2157.7385999999997</v>
      </c>
      <c r="R16" s="131">
        <v>126.03607457597096</v>
      </c>
      <c r="S16" s="131">
        <v>882.28622293078251</v>
      </c>
      <c r="T16" s="131">
        <v>84528.904831495514</v>
      </c>
      <c r="U16" s="114">
        <v>0.70258277999999996</v>
      </c>
    </row>
    <row r="17" spans="1:21" x14ac:dyDescent="0.25">
      <c r="A17" s="6" t="s">
        <v>62</v>
      </c>
      <c r="B17" t="s">
        <v>63</v>
      </c>
      <c r="C17" s="125">
        <v>6.0201772033898306</v>
      </c>
      <c r="D17" s="126">
        <v>4.1002023000000003</v>
      </c>
      <c r="E17" s="126">
        <v>3.0752245</v>
      </c>
      <c r="F17" s="126">
        <v>169.55998</v>
      </c>
      <c r="G17" s="126">
        <v>28.154317333333331</v>
      </c>
      <c r="H17" s="126">
        <v>31.858712000000004</v>
      </c>
      <c r="I17" s="126">
        <v>2.5865760595190648</v>
      </c>
      <c r="J17" s="126">
        <v>2.782586510783402</v>
      </c>
      <c r="K17" s="127">
        <v>2.5865760595190648</v>
      </c>
      <c r="L17" s="125">
        <v>2.5027572673673415</v>
      </c>
      <c r="M17" s="126">
        <v>12.142331333333333</v>
      </c>
      <c r="N17" s="126">
        <v>61.71134</v>
      </c>
      <c r="O17" s="126">
        <v>2.9307710381948038</v>
      </c>
      <c r="P17" s="126">
        <v>4.9491050000000003</v>
      </c>
      <c r="Q17" s="126">
        <v>5.0253625</v>
      </c>
      <c r="R17" s="126">
        <v>2.4488305212346666</v>
      </c>
      <c r="S17" s="126">
        <v>3.923332359062929</v>
      </c>
      <c r="T17" s="126">
        <v>2389.6558168371639</v>
      </c>
      <c r="U17" s="114">
        <v>1.2855604E-2</v>
      </c>
    </row>
    <row r="18" spans="1:21" x14ac:dyDescent="0.25">
      <c r="A18" s="6" t="s">
        <v>64</v>
      </c>
      <c r="B18" t="s">
        <v>65</v>
      </c>
      <c r="C18" s="119">
        <v>5.0920104237288131</v>
      </c>
      <c r="D18" s="120">
        <v>4.8364343999999999</v>
      </c>
      <c r="E18" s="120">
        <v>3.3796633000000003</v>
      </c>
      <c r="F18" s="120">
        <v>54.116097000000003</v>
      </c>
      <c r="G18" s="120">
        <v>22.489922666666665</v>
      </c>
      <c r="H18" s="120">
        <v>87.438671999999997</v>
      </c>
      <c r="I18" s="120">
        <v>2.0335083477259643</v>
      </c>
      <c r="J18" s="120">
        <v>2.2643350604490502</v>
      </c>
      <c r="K18" s="121">
        <v>2.0335083477259643</v>
      </c>
      <c r="L18" s="119">
        <v>0.16462503716995641</v>
      </c>
      <c r="M18" s="120">
        <v>3.0830448888888888</v>
      </c>
      <c r="N18" s="120">
        <v>67.697643999999997</v>
      </c>
      <c r="O18" s="120">
        <v>6.4476530379877861</v>
      </c>
      <c r="P18" s="120">
        <v>1.3662470666666666</v>
      </c>
      <c r="Q18" s="120">
        <v>8.7333575000000003</v>
      </c>
      <c r="R18" s="120">
        <v>0.81022655329701965</v>
      </c>
      <c r="S18" s="120">
        <v>2.701805057349099</v>
      </c>
      <c r="T18" s="120">
        <v>625.87507196315494</v>
      </c>
      <c r="U18" s="114">
        <v>5.1635304000000005E-4</v>
      </c>
    </row>
    <row r="19" spans="1:21" x14ac:dyDescent="0.25">
      <c r="A19" s="6" t="s">
        <v>66</v>
      </c>
      <c r="B19" t="s">
        <v>67</v>
      </c>
      <c r="C19" s="125">
        <v>50.99575762711865</v>
      </c>
      <c r="D19" s="126">
        <v>20.741952999999999</v>
      </c>
      <c r="E19" s="126">
        <v>20.234075000000001</v>
      </c>
      <c r="F19" s="126">
        <v>153.19120000000001</v>
      </c>
      <c r="G19" s="126">
        <v>116.74934266666668</v>
      </c>
      <c r="H19" s="126">
        <v>95.265401999999995</v>
      </c>
      <c r="I19" s="126">
        <v>11.508077587352199</v>
      </c>
      <c r="J19" s="126">
        <v>11.70153934723883</v>
      </c>
      <c r="K19" s="127">
        <v>11.508077587352199</v>
      </c>
      <c r="L19" s="125">
        <v>28.086759805178158</v>
      </c>
      <c r="M19" s="126">
        <v>39.033684444444447</v>
      </c>
      <c r="N19" s="126">
        <v>640.51980000000003</v>
      </c>
      <c r="O19" s="126">
        <v>16.63490011385985</v>
      </c>
      <c r="P19" s="126">
        <v>18.616345000000003</v>
      </c>
      <c r="Q19" s="126">
        <v>33.498830500000004</v>
      </c>
      <c r="R19" s="126">
        <v>20.285881936141006</v>
      </c>
      <c r="S19" s="126">
        <v>19.595887693193394</v>
      </c>
      <c r="T19" s="126">
        <v>10068.554094149949</v>
      </c>
      <c r="U19" s="114">
        <v>0.17905790999999999</v>
      </c>
    </row>
    <row r="20" spans="1:21" ht="15.75" thickBot="1" x14ac:dyDescent="0.3">
      <c r="A20" s="7" t="s">
        <v>68</v>
      </c>
      <c r="B20" s="8" t="s">
        <v>69</v>
      </c>
      <c r="C20" s="122">
        <v>1.1812898305084747</v>
      </c>
      <c r="D20" s="123">
        <v>0.94331118000000003</v>
      </c>
      <c r="E20" s="123">
        <v>0.94844609999999996</v>
      </c>
      <c r="F20" s="123">
        <v>4.1743728999999998</v>
      </c>
      <c r="G20" s="123">
        <v>4.1639200000000001</v>
      </c>
      <c r="H20" s="123">
        <v>3.0566781999999999</v>
      </c>
      <c r="I20" s="123">
        <v>0.46297551038483681</v>
      </c>
      <c r="J20" s="123">
        <v>0.48668950002214251</v>
      </c>
      <c r="K20" s="124">
        <v>0.46297551038483681</v>
      </c>
      <c r="L20" s="122">
        <v>0.51854329659061782</v>
      </c>
      <c r="M20" s="123">
        <v>7.7805075555555554</v>
      </c>
      <c r="N20" s="123">
        <v>22.288232000000001</v>
      </c>
      <c r="O20" s="123">
        <v>0.69440060035193041</v>
      </c>
      <c r="P20" s="123">
        <v>0.68399623333333337</v>
      </c>
      <c r="Q20" s="123">
        <v>1.0694750499999999</v>
      </c>
      <c r="R20" s="123">
        <v>0.52932351091625707</v>
      </c>
      <c r="S20" s="123">
        <v>0.73611623045923569</v>
      </c>
      <c r="T20" s="123">
        <v>328.05978477481074</v>
      </c>
      <c r="U20" s="115">
        <v>4.0473662000000002E-3</v>
      </c>
    </row>
    <row r="43" spans="20:22" x14ac:dyDescent="0.25">
      <c r="T43" s="13"/>
      <c r="V43" s="13"/>
    </row>
    <row r="50" spans="20:22" x14ac:dyDescent="0.25">
      <c r="T50" s="13"/>
      <c r="V50" s="13"/>
    </row>
  </sheetData>
  <mergeCells count="2">
    <mergeCell ref="C1:K1"/>
    <mergeCell ref="L1:T1"/>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Overview</vt:lpstr>
      <vt:lpstr>PHES</vt:lpstr>
      <vt:lpstr>CAES</vt:lpstr>
      <vt:lpstr>Flywheel</vt:lpstr>
      <vt:lpstr>Li-ion (LFP)</vt:lpstr>
      <vt:lpstr>Na-ion (MMO)</vt:lpstr>
      <vt:lpstr>Lead acid</vt:lpstr>
      <vt:lpstr>VRFB</vt:lpstr>
      <vt:lpstr>Hydrogen</vt:lpstr>
      <vt:lpstr>Supercapacitor</vt:lpstr>
      <vt:lpstr>Results (c2gate)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Thran, Jacob</dc:creator>
  <cp:lastModifiedBy>Thran, Jacob</cp:lastModifiedBy>
  <dcterms:created xsi:type="dcterms:W3CDTF">2026-07-07T14:45:47Z</dcterms:created>
  <dcterms:modified xsi:type="dcterms:W3CDTF">2026-09-30T15:45:20Z</dcterms:modified>
</cp:coreProperties>
</file>