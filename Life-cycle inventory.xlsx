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202300"/>
  <mc:AlternateContent xmlns:mc="http://schemas.openxmlformats.org/markup-compatibility/2006">
    <mc:Choice Requires="x15">
      <x15ac:absPath xmlns:x15ac="http://schemas.microsoft.com/office/spreadsheetml/2010/11/ac" url="https://imperiallondon-my.sharepoint.com/personal/jt3022_ic_ac_uk/Documents/Output/Projects/7. LCSA for LCODR/Endspurt/updated_github_inventory/"/>
    </mc:Choice>
  </mc:AlternateContent>
  <xr:revisionPtr revIDLastSave="0" documentId="8_{7467B037-FB6C-4128-B2C6-BD421B893B67}" xr6:coauthVersionLast="47" xr6:coauthVersionMax="47" xr10:uidLastSave="{00000000-0000-0000-0000-000000000000}"/>
  <bookViews>
    <workbookView xWindow="30990" yWindow="1515" windowWidth="33300" windowHeight="17280" activeTab="7" xr2:uid="{24418078-04CF-413A-AD26-ABD790A45F2D}"/>
  </bookViews>
  <sheets>
    <sheet name="PHES" sheetId="1" r:id="rId1"/>
    <sheet name="CAES" sheetId="5" r:id="rId2"/>
    <sheet name="Flywheel" sheetId="7" r:id="rId3"/>
    <sheet name="Li-ion (LFP)" sheetId="12" r:id="rId4"/>
    <sheet name="Na-ion (MMO)" sheetId="20" r:id="rId5"/>
    <sheet name="Lead acid" sheetId="4" r:id="rId6"/>
    <sheet name="VRFB" sheetId="6" r:id="rId7"/>
    <sheet name="Hydrogen" sheetId="9" r:id="rId8"/>
    <sheet name="Supercapacitor" sheetId="1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7" i="20" l="1"/>
  <c r="D65" i="20"/>
  <c r="J56" i="20"/>
  <c r="J55" i="20"/>
  <c r="J54" i="20"/>
  <c r="J53" i="20"/>
  <c r="J52" i="20"/>
  <c r="J51" i="20"/>
  <c r="J50" i="20"/>
  <c r="J49" i="20"/>
  <c r="J48" i="20"/>
  <c r="J47" i="20"/>
  <c r="J46" i="20"/>
  <c r="J45" i="20"/>
  <c r="J44" i="20"/>
  <c r="J43" i="20"/>
  <c r="J42" i="20"/>
  <c r="J41" i="20"/>
  <c r="J40" i="20"/>
  <c r="J39" i="20"/>
  <c r="J30" i="20"/>
  <c r="J29" i="20"/>
  <c r="J28" i="20"/>
  <c r="J27" i="20"/>
  <c r="J26" i="20"/>
  <c r="J25" i="20"/>
  <c r="J24" i="20"/>
  <c r="J23" i="20"/>
  <c r="J22" i="20"/>
  <c r="J21" i="20"/>
  <c r="J20" i="20"/>
  <c r="J19" i="20"/>
  <c r="J18" i="20"/>
  <c r="J17" i="20"/>
  <c r="J16" i="20"/>
  <c r="J15" i="20"/>
  <c r="J14" i="20"/>
  <c r="J13" i="20"/>
  <c r="J12" i="12"/>
  <c r="J38" i="12"/>
  <c r="J39" i="12"/>
  <c r="J40" i="12"/>
  <c r="J41" i="12"/>
  <c r="J42" i="12"/>
  <c r="J43" i="12"/>
  <c r="J44" i="12"/>
  <c r="J45" i="12"/>
  <c r="J46" i="12"/>
  <c r="J47" i="12"/>
  <c r="J48" i="12"/>
  <c r="J49" i="12"/>
  <c r="J50" i="12"/>
  <c r="J51" i="12"/>
  <c r="J52" i="12"/>
  <c r="J53" i="12"/>
  <c r="J54" i="12"/>
  <c r="J55" i="12"/>
  <c r="J39" i="17"/>
  <c r="X66" i="17"/>
  <c r="X64" i="17"/>
  <c r="H97" i="12"/>
  <c r="I97" i="12" s="1"/>
  <c r="J55" i="17"/>
  <c r="J54" i="17"/>
  <c r="J53" i="17"/>
  <c r="J52" i="17"/>
  <c r="J51" i="17"/>
  <c r="J50" i="17"/>
  <c r="J49" i="17"/>
  <c r="J48" i="17"/>
  <c r="J47" i="17"/>
  <c r="J46" i="17"/>
  <c r="J45" i="17"/>
  <c r="J44" i="17"/>
  <c r="J43" i="17"/>
  <c r="J42" i="17"/>
  <c r="J41" i="17"/>
  <c r="J40" i="17"/>
  <c r="J38" i="17"/>
  <c r="J29" i="17"/>
  <c r="J28" i="17"/>
  <c r="J27" i="17"/>
  <c r="J26" i="17"/>
  <c r="J25" i="17"/>
  <c r="J24" i="17"/>
  <c r="J23" i="17"/>
  <c r="J22" i="17"/>
  <c r="J21" i="17"/>
  <c r="J20" i="17"/>
  <c r="J19" i="17"/>
  <c r="J18" i="17"/>
  <c r="J17" i="17"/>
  <c r="J16" i="17"/>
  <c r="J15" i="17"/>
  <c r="J14" i="17"/>
  <c r="J13" i="17"/>
  <c r="J12" i="17"/>
  <c r="J37" i="7"/>
  <c r="D87" i="12"/>
  <c r="D84" i="12"/>
  <c r="H83" i="12"/>
  <c r="H87" i="12"/>
  <c r="L55" i="12"/>
  <c r="L54" i="12"/>
  <c r="L53" i="12"/>
  <c r="L52" i="12"/>
  <c r="L51" i="12"/>
  <c r="L50" i="12"/>
  <c r="L49" i="12"/>
  <c r="L48" i="12"/>
  <c r="L47" i="12"/>
  <c r="L46" i="12"/>
  <c r="L45" i="12"/>
  <c r="L44" i="12"/>
  <c r="L43" i="12"/>
  <c r="L42" i="12"/>
  <c r="L41" i="12"/>
  <c r="L40" i="12"/>
  <c r="L39" i="12"/>
  <c r="L38" i="12"/>
  <c r="L29" i="12"/>
  <c r="J29" i="12"/>
  <c r="L28" i="12"/>
  <c r="J28" i="12"/>
  <c r="L27" i="12"/>
  <c r="J27" i="12"/>
  <c r="L26" i="12"/>
  <c r="J26" i="12"/>
  <c r="L25" i="12"/>
  <c r="J25" i="12"/>
  <c r="L24" i="12"/>
  <c r="J24" i="12"/>
  <c r="L23" i="12"/>
  <c r="J23" i="12"/>
  <c r="L22" i="12"/>
  <c r="J22" i="12"/>
  <c r="L21" i="12"/>
  <c r="J21" i="12"/>
  <c r="L20" i="12"/>
  <c r="J20" i="12"/>
  <c r="L19" i="12"/>
  <c r="J19" i="12"/>
  <c r="L18" i="12"/>
  <c r="J18" i="12"/>
  <c r="L17" i="12"/>
  <c r="J17" i="12"/>
  <c r="L16" i="12"/>
  <c r="J16" i="12"/>
  <c r="L15" i="12"/>
  <c r="J15" i="12"/>
  <c r="L14" i="12"/>
  <c r="J14" i="12"/>
  <c r="L13" i="12"/>
  <c r="J13" i="12"/>
  <c r="L12" i="12"/>
  <c r="J15" i="9"/>
  <c r="J16" i="9"/>
  <c r="J17" i="9"/>
  <c r="J18" i="9"/>
  <c r="J19" i="9"/>
  <c r="J20" i="9"/>
  <c r="J21" i="9"/>
  <c r="J22" i="9"/>
  <c r="J23" i="9"/>
  <c r="J24" i="9"/>
  <c r="J25" i="9"/>
  <c r="J26" i="9"/>
  <c r="J27" i="9"/>
  <c r="J28" i="9"/>
  <c r="J29" i="9"/>
  <c r="J30" i="9"/>
  <c r="J31" i="9"/>
  <c r="J14" i="9"/>
  <c r="J79" i="9"/>
  <c r="J80" i="9"/>
  <c r="J81" i="9"/>
  <c r="J96" i="9"/>
  <c r="J95" i="9"/>
  <c r="J94" i="9"/>
  <c r="J93" i="9"/>
  <c r="J92" i="9"/>
  <c r="J91" i="9"/>
  <c r="J90" i="9"/>
  <c r="J89" i="9"/>
  <c r="J88" i="9"/>
  <c r="J87" i="9"/>
  <c r="J86" i="9"/>
  <c r="J85" i="9"/>
  <c r="J84" i="9"/>
  <c r="J83" i="9"/>
  <c r="J82" i="9"/>
  <c r="J41" i="7"/>
  <c r="J42" i="7"/>
  <c r="J43" i="7"/>
  <c r="J44" i="7"/>
  <c r="J45" i="7"/>
  <c r="J46" i="7"/>
  <c r="J47" i="7"/>
  <c r="J48" i="7"/>
  <c r="J49" i="7"/>
  <c r="J50" i="7"/>
  <c r="J51" i="7"/>
  <c r="J52" i="7"/>
  <c r="J53" i="7"/>
  <c r="J54" i="7"/>
  <c r="J40" i="7"/>
  <c r="J39" i="7"/>
  <c r="J38" i="7"/>
  <c r="J24" i="7"/>
  <c r="J23" i="7"/>
  <c r="J22" i="7"/>
  <c r="J21" i="7"/>
  <c r="J20" i="7"/>
  <c r="J19" i="7"/>
  <c r="J11" i="7"/>
  <c r="J28" i="7"/>
  <c r="J27" i="7"/>
  <c r="J26" i="7"/>
  <c r="J25" i="7"/>
  <c r="J18" i="7"/>
  <c r="J17" i="7"/>
  <c r="J16" i="7"/>
  <c r="J15" i="7"/>
  <c r="J14" i="7"/>
  <c r="J13" i="7"/>
  <c r="J12" i="7"/>
  <c r="L39" i="6"/>
  <c r="L40" i="6"/>
  <c r="L41" i="6"/>
  <c r="L42" i="6"/>
  <c r="L43" i="6"/>
  <c r="L44" i="6"/>
  <c r="L45" i="6"/>
  <c r="L46" i="6"/>
  <c r="L47" i="6"/>
  <c r="L48" i="6"/>
  <c r="L49" i="6"/>
  <c r="L50" i="6"/>
  <c r="L51" i="6"/>
  <c r="L52" i="6"/>
  <c r="L53" i="6"/>
  <c r="L54" i="6"/>
  <c r="L55" i="6"/>
  <c r="L38" i="6"/>
  <c r="L13" i="6"/>
  <c r="L14" i="6"/>
  <c r="L15" i="6"/>
  <c r="L16" i="6"/>
  <c r="L17" i="6"/>
  <c r="L18" i="6"/>
  <c r="L19" i="6"/>
  <c r="L20" i="6"/>
  <c r="L21" i="6"/>
  <c r="L22" i="6"/>
  <c r="L23" i="6"/>
  <c r="L24" i="6"/>
  <c r="L25" i="6"/>
  <c r="L26" i="6"/>
  <c r="L27" i="6"/>
  <c r="L28" i="6"/>
  <c r="L29" i="6"/>
  <c r="L12" i="6"/>
  <c r="J55" i="6"/>
  <c r="J54" i="6"/>
  <c r="J53" i="6"/>
  <c r="J52" i="6"/>
  <c r="J51" i="6"/>
  <c r="J50" i="6"/>
  <c r="J49" i="6"/>
  <c r="J48" i="6"/>
  <c r="J47" i="6"/>
  <c r="J46" i="6"/>
  <c r="J45" i="6"/>
  <c r="J44" i="6"/>
  <c r="J43" i="6"/>
  <c r="J42" i="6"/>
  <c r="J41" i="6"/>
  <c r="J40" i="6"/>
  <c r="J39" i="6"/>
  <c r="J38" i="6"/>
  <c r="J29" i="6"/>
  <c r="J28" i="6"/>
  <c r="J27" i="6"/>
  <c r="J26" i="6"/>
  <c r="J25" i="6"/>
  <c r="J24" i="6"/>
  <c r="J23" i="6"/>
  <c r="J22" i="6"/>
  <c r="J21" i="6"/>
  <c r="J20" i="6"/>
  <c r="J19" i="6"/>
  <c r="J18" i="6"/>
  <c r="J17" i="6"/>
  <c r="J16" i="6"/>
  <c r="J15" i="6"/>
  <c r="J14" i="6"/>
  <c r="J13" i="6"/>
  <c r="J12" i="6"/>
  <c r="J39" i="5"/>
  <c r="J40" i="5"/>
  <c r="J41" i="5"/>
  <c r="J42" i="5"/>
  <c r="J43" i="5"/>
  <c r="J44" i="5"/>
  <c r="J45" i="5"/>
  <c r="J46" i="5"/>
  <c r="J47" i="5"/>
  <c r="J48" i="5"/>
  <c r="J49" i="5"/>
  <c r="J50" i="5"/>
  <c r="J51" i="5"/>
  <c r="J52" i="5"/>
  <c r="J53" i="5"/>
  <c r="J54" i="5"/>
  <c r="J55" i="5"/>
  <c r="J38" i="5"/>
  <c r="J16" i="5"/>
  <c r="J17" i="5"/>
  <c r="J18" i="5"/>
  <c r="J19" i="5"/>
  <c r="J20" i="5"/>
  <c r="J21" i="5"/>
  <c r="J22" i="5"/>
  <c r="J23" i="5"/>
  <c r="J24" i="5"/>
  <c r="J25" i="5"/>
  <c r="J26" i="5"/>
  <c r="J27" i="5"/>
  <c r="J28" i="5"/>
  <c r="J29" i="5"/>
  <c r="J15" i="5"/>
  <c r="J14" i="5"/>
  <c r="J13" i="5"/>
  <c r="J12" i="5"/>
  <c r="J47" i="4"/>
  <c r="J46" i="4"/>
  <c r="J45" i="4"/>
  <c r="J44" i="4"/>
  <c r="J43" i="4"/>
  <c r="J42" i="4"/>
  <c r="J41" i="4"/>
  <c r="J40" i="4"/>
  <c r="J39" i="4"/>
  <c r="J38" i="4"/>
  <c r="J48" i="4"/>
  <c r="J55" i="4"/>
  <c r="J54" i="4"/>
  <c r="J53" i="4"/>
  <c r="J52" i="4"/>
  <c r="J51" i="4"/>
  <c r="J50" i="4"/>
  <c r="J49" i="4"/>
  <c r="J29" i="4"/>
  <c r="J28" i="4"/>
  <c r="J27" i="4"/>
  <c r="J26" i="4"/>
  <c r="J25" i="4"/>
  <c r="J24" i="4"/>
  <c r="J23" i="4"/>
  <c r="J22" i="4"/>
  <c r="J21" i="4"/>
  <c r="J20" i="4"/>
  <c r="J19" i="4"/>
  <c r="J18" i="4"/>
  <c r="J17" i="4"/>
  <c r="J16" i="4"/>
  <c r="J15" i="4"/>
  <c r="J14" i="4"/>
  <c r="J13" i="4"/>
  <c r="J12" i="4"/>
  <c r="J39" i="1"/>
  <c r="J40" i="1"/>
  <c r="J41" i="1"/>
  <c r="J42" i="1"/>
  <c r="J43" i="1"/>
  <c r="J44" i="1"/>
  <c r="J45" i="1"/>
  <c r="J46" i="1"/>
  <c r="J47" i="1"/>
  <c r="J48" i="1"/>
  <c r="J49" i="1"/>
  <c r="J50" i="1"/>
  <c r="J51" i="1"/>
  <c r="J52" i="1"/>
  <c r="J53" i="1"/>
  <c r="J54" i="1"/>
  <c r="J55" i="1"/>
  <c r="J38" i="1"/>
  <c r="J29" i="1"/>
  <c r="J28" i="1"/>
  <c r="J27" i="1"/>
  <c r="J26" i="1"/>
  <c r="J25" i="1"/>
  <c r="J24" i="1"/>
  <c r="J23" i="1"/>
  <c r="J22" i="1"/>
  <c r="J21" i="1"/>
  <c r="J20" i="1"/>
  <c r="J19" i="1"/>
  <c r="J18" i="1"/>
  <c r="J17" i="1"/>
  <c r="J16" i="1"/>
  <c r="J15" i="1"/>
  <c r="J14" i="1"/>
  <c r="J13" i="1"/>
  <c r="J12" i="1"/>
</calcChain>
</file>

<file path=xl/sharedStrings.xml><?xml version="1.0" encoding="utf-8"?>
<sst xmlns="http://schemas.openxmlformats.org/spreadsheetml/2006/main" count="3391" uniqueCount="676">
  <si>
    <t>Inventory - Power</t>
  </si>
  <si>
    <t>Inventory - Energy</t>
  </si>
  <si>
    <t>Inventory taken from:</t>
  </si>
  <si>
    <r>
      <t>Kapila, S., Oni, A. O., Gemechu, E. D., &amp; Kumar, A. (2019). Development of net energy ratios and life cycle greenhouse gas emissions of large-scale mechanical energy storage systems. </t>
    </r>
    <r>
      <rPr>
        <i/>
        <sz val="10"/>
        <color rgb="FF222222"/>
        <rFont val="Arial"/>
        <family val="2"/>
      </rPr>
      <t>Energy</t>
    </r>
    <r>
      <rPr>
        <sz val="10"/>
        <color rgb="FF222222"/>
        <rFont val="Arial"/>
        <family val="2"/>
      </rPr>
      <t>, </t>
    </r>
    <r>
      <rPr>
        <i/>
        <sz val="10"/>
        <color rgb="FF222222"/>
        <rFont val="Arial"/>
        <family val="2"/>
      </rPr>
      <t>170</t>
    </r>
    <r>
      <rPr>
        <sz val="10"/>
        <color rgb="FF222222"/>
        <rFont val="Arial"/>
        <family val="2"/>
      </rPr>
      <t>, 592-603.</t>
    </r>
  </si>
  <si>
    <t>Kapila, S. (2018). Techno-economic and life cycle assessment of large energy storage systems.</t>
  </si>
  <si>
    <t>Charge power capacity (if different):</t>
  </si>
  <si>
    <t>Discharge power capacity:</t>
  </si>
  <si>
    <t>Raw material, processing, and assembly</t>
  </si>
  <si>
    <t>-</t>
  </si>
  <si>
    <t>Component</t>
  </si>
  <si>
    <t>Material/process</t>
  </si>
  <si>
    <t>Amount</t>
  </si>
  <si>
    <t>Unit</t>
  </si>
  <si>
    <t>Discharge energy capacity:</t>
  </si>
  <si>
    <t>Nominal energy capacity (if stated):</t>
  </si>
  <si>
    <t>Impacts - Power</t>
  </si>
  <si>
    <t>Impact type</t>
  </si>
  <si>
    <t>Total impact</t>
  </si>
  <si>
    <t>Impact assessment method</t>
  </si>
  <si>
    <t>Specific impact/kWh (discharge capacity)</t>
  </si>
  <si>
    <t>ReCiPe 2016 Midpoint (H)</t>
  </si>
  <si>
    <t>Dams</t>
  </si>
  <si>
    <t>kg</t>
  </si>
  <si>
    <t>Explosives</t>
  </si>
  <si>
    <t>Reservoirs</t>
  </si>
  <si>
    <t>L</t>
  </si>
  <si>
    <t>MJ</t>
  </si>
  <si>
    <t>m2</t>
  </si>
  <si>
    <t>Transportation</t>
  </si>
  <si>
    <t>Facility construction</t>
  </si>
  <si>
    <t>Pump-turbine</t>
  </si>
  <si>
    <t>Penstock</t>
  </si>
  <si>
    <t>Anchors</t>
  </si>
  <si>
    <t>Motor/generator</t>
  </si>
  <si>
    <t>118 MW</t>
  </si>
  <si>
    <t>Discharge power capacity (kW):</t>
  </si>
  <si>
    <t>Specific impact/kW (discharge capacity)</t>
  </si>
  <si>
    <t>Discharge energy capacity (kWh):</t>
  </si>
  <si>
    <t>Global warming</t>
  </si>
  <si>
    <t>kg CO2 eq</t>
  </si>
  <si>
    <t>Stratospheric ozone depletion</t>
  </si>
  <si>
    <t>kg CFC11 eq</t>
  </si>
  <si>
    <t>Ionizing radiation</t>
  </si>
  <si>
    <t>kBq Co-60 eq</t>
  </si>
  <si>
    <t>Ozone formation, Human health</t>
  </si>
  <si>
    <t>kg NOx eq</t>
  </si>
  <si>
    <t>Fine particulate matter formation</t>
  </si>
  <si>
    <t>kg PM2.5 eq</t>
  </si>
  <si>
    <t>Ozone formation, Terrestrial ecosystems</t>
  </si>
  <si>
    <t>Terrestrial acidification</t>
  </si>
  <si>
    <t>kg SO2 eq</t>
  </si>
  <si>
    <t>Freshwater eutrophication</t>
  </si>
  <si>
    <t>kg P eq</t>
  </si>
  <si>
    <t>Marine eutrophication</t>
  </si>
  <si>
    <t>kg N eq</t>
  </si>
  <si>
    <t>Terrestrial ecotoxicity</t>
  </si>
  <si>
    <t>kg 1,4-DCB</t>
  </si>
  <si>
    <t>Freshwater ecotoxicity</t>
  </si>
  <si>
    <t>Marine ecotoxicity</t>
  </si>
  <si>
    <t>Human carcinogenic toxicity</t>
  </si>
  <si>
    <t>Human non-carcinogenic toxicity</t>
  </si>
  <si>
    <t>Land use</t>
  </si>
  <si>
    <t>m2a crop eq</t>
  </si>
  <si>
    <t>Mineral resource scarcity</t>
  </si>
  <si>
    <t>kg Cu eq</t>
  </si>
  <si>
    <t>Fossil resource scarcity</t>
  </si>
  <si>
    <t>kg oil eq</t>
  </si>
  <si>
    <t>Water consumption</t>
  </si>
  <si>
    <t>m3</t>
  </si>
  <si>
    <t>Impacts - Energy</t>
  </si>
  <si>
    <t>Scope:</t>
  </si>
  <si>
    <t>Cradle-to-grave</t>
  </si>
  <si>
    <t>390.1 MWh</t>
  </si>
  <si>
    <t>Concrete block {GLO}| market for concrete block | Cut-off, S</t>
  </si>
  <si>
    <t>Explosive, tovex {GLO}| market for explosive, tovex | Cut-off, S</t>
  </si>
  <si>
    <t>Diesel, burned in building machine {GLO}| market for diesel, burned in building machine | Cut-off, S</t>
  </si>
  <si>
    <t>Electricity, medium voltage {GLO}| market group for electricity, medium voltage | Cut-off, S</t>
  </si>
  <si>
    <t>Transformation, to industrial area, vegetation</t>
  </si>
  <si>
    <t>Copper {GLO}| market for copper | Cut-off, S</t>
  </si>
  <si>
    <t>Steel, low-alloyed {GLO}| market for steel, low-alloyed | Cut-off, S</t>
  </si>
  <si>
    <t>Reinforcing steel {GLO}| market for reinforcing steel | Cut-off, S</t>
  </si>
  <si>
    <t>Steel, chromium steel 18/8 {GLO}| market for steel, chromium steel 18/8 | Cut-off, S</t>
  </si>
  <si>
    <t>Cast iron {GLO}| market for cast iron | Cut-off, S</t>
  </si>
  <si>
    <t>Notes:</t>
  </si>
  <si>
    <t>Raw materials, processing, and assembly do not contain any transport processes because these were translated into energy requirements instead by the source papers.</t>
  </si>
  <si>
    <t>Cradle-to-gate</t>
  </si>
  <si>
    <t>p</t>
  </si>
  <si>
    <t>Aluminium, cast alloy {GLO}| aluminium ingot, primary, to aluminium, cast alloy market | Cut-off, S</t>
  </si>
  <si>
    <t>Calcium carbide, technical grade {RoW}| calcium carbide production, technical grade | Cut-off, S</t>
  </si>
  <si>
    <t>Carbon black {GLO}| carbon black production | Cut-off, S</t>
  </si>
  <si>
    <t>Copper, cathode {GLO}| copper production, cathode, solvent extraction and electrowinning process | Cut-off, S</t>
  </si>
  <si>
    <t>Integrated circuit, logic type {GLO}| integrated circuit production, logic type | Cut-off, S</t>
  </si>
  <si>
    <t>Printed wiring board, through-hole mounted, unspecified, Pb free {GLO}| printed wiring board production, through-hole mounted, unspecified, Pb free | Cut-off, S</t>
  </si>
  <si>
    <t>Gold {RoW}| gold-silver mine operation with refinery | Cut-off, S</t>
  </si>
  <si>
    <t>Tin {RoW}| tin production | Cut-off, S</t>
  </si>
  <si>
    <t>Electricity, medium voltage {CN}| market group for electricity, medium voltage | Cut-off, S</t>
  </si>
  <si>
    <t>Glass fibre {RoW}| glass fibre production | Cut-off, S</t>
  </si>
  <si>
    <t>Heat, district or industrial, natural gas {RoW}| heat production, natural gas, at industrial furnace &gt;100kW | Cut-off, S</t>
  </si>
  <si>
    <t>Heavy fuel oil, burned in refinery furnace {RoW}| heavy fuel oil, burned in refinery furnace | Cut-off, S</t>
  </si>
  <si>
    <t>Polypropylene, granulate {RoW}| polypropylene production, granulate | Cut-off, S</t>
  </si>
  <si>
    <t>Barite {RoW}| barite production | Cut-off, S</t>
  </si>
  <si>
    <t>Lead {GLO}| primary lead production from concentrate | Cut-off, S</t>
  </si>
  <si>
    <t>Sulfate pulp, unbleached {RoW}| sulfate pulp production, from softwood, unbleached | Cut-off, S</t>
  </si>
  <si>
    <t>Sulfuric acid {RoW}| market for sulfuric acid | Cut-off, S</t>
  </si>
  <si>
    <t>Water, deionised {RoW}| water production, deionised | Cut-off, S</t>
  </si>
  <si>
    <t>5 kW</t>
  </si>
  <si>
    <t>20 kWh</t>
  </si>
  <si>
    <r>
      <t>Yudhistira, R., Khatiwada, D., &amp; Sanchez, F. (2022). A comparative life cycle assessment of lithium-ion and lead-acid batteries for grid energy storage. </t>
    </r>
    <r>
      <rPr>
        <i/>
        <sz val="10"/>
        <color rgb="FF222222"/>
        <rFont val="Arial"/>
        <family val="2"/>
      </rPr>
      <t>Journal of Cleaner Production</t>
    </r>
    <r>
      <rPr>
        <sz val="10"/>
        <color rgb="FF222222"/>
        <rFont val="Arial"/>
        <family val="2"/>
      </rPr>
      <t>, </t>
    </r>
    <r>
      <rPr>
        <i/>
        <sz val="10"/>
        <color rgb="FF222222"/>
        <rFont val="Arial"/>
        <family val="2"/>
      </rPr>
      <t>358</t>
    </r>
    <r>
      <rPr>
        <sz val="10"/>
        <color rgb="FF222222"/>
        <rFont val="Arial"/>
        <family val="2"/>
      </rPr>
      <t>, 131999.</t>
    </r>
  </si>
  <si>
    <t>Inventory adapted from:</t>
  </si>
  <si>
    <t>Inventory - classification</t>
  </si>
  <si>
    <t>Acrylonitrile {GLO}| market for acrylonitrile | Cut-off, S</t>
  </si>
  <si>
    <t>Aluminium, cast alloy {GLO}| aluminium ingot, primary, production | Cut-off, S</t>
  </si>
  <si>
    <t>Calcium carbide, technical grade {RoW}| calcium carbide production | Cut-off, S</t>
  </si>
  <si>
    <r>
      <t xml:space="preserve">Copper, cathode {GLO}| copper production, cathode, smelting </t>
    </r>
    <r>
      <rPr>
        <i/>
        <sz val="11"/>
        <color theme="1"/>
        <rFont val="Aptos Narrow"/>
        <family val="2"/>
        <scheme val="minor"/>
      </rPr>
      <t>(or solvent extraction/electrowinning)</t>
    </r>
    <r>
      <rPr>
        <sz val="11"/>
        <color theme="1"/>
        <rFont val="Aptos Narrow"/>
        <family val="2"/>
        <scheme val="minor"/>
      </rPr>
      <t xml:space="preserve"> | Cut-off, S</t>
    </r>
  </si>
  <si>
    <t>Printed wiring board, through-hole mounted, unspecified {GLO}| printed wiring board production, through-hole mounted, unspecified | Cut-off, S</t>
  </si>
  <si>
    <t>Sulfate pulp, unbleached {RoW}| sulfate pulp production, unbleached | Cut-off, S</t>
  </si>
  <si>
    <t>Generic</t>
  </si>
  <si>
    <t>Power</t>
  </si>
  <si>
    <t>Energy</t>
  </si>
  <si>
    <t>Generic component split (E/P): 41.8</t>
  </si>
  <si>
    <t>Acrylonitrile-butadiene-styrene copolymer {RoW}| acrylonitrile-butadiene-styrene copolymer production | Cut-off, S</t>
  </si>
  <si>
    <t>Classification</t>
  </si>
  <si>
    <t>Spanos, C., Turney, D. E., &amp; Fthenakis, V. (2015). Life-cycle analysis of flow-assisted nickel zinc-, manganese dioxide-, and valve-regulated lead-acid batteries designed for demand-charge reduction. Renewable and Sustainable Energy Reviews, 43, 478-494.</t>
  </si>
  <si>
    <r>
      <t>Lucas, M., Komesse, H. B., Duval—Dachary, S., &amp; Teixeira, D. (2025). Comparative Environmental Impact Assessment of a Daily Electricity Restitution Operated by Advanced Adiabatic Compressed Air Energy Storage Systems (A‐CAES). </t>
    </r>
    <r>
      <rPr>
        <i/>
        <sz val="10"/>
        <color rgb="FF222222"/>
        <rFont val="Arial"/>
        <family val="2"/>
      </rPr>
      <t>Energy Storage</t>
    </r>
    <r>
      <rPr>
        <sz val="10"/>
        <color rgb="FF222222"/>
        <rFont val="Arial"/>
        <family val="2"/>
      </rPr>
      <t>, </t>
    </r>
    <r>
      <rPr>
        <i/>
        <sz val="10"/>
        <color rgb="FF222222"/>
        <rFont val="Arial"/>
        <family val="2"/>
      </rPr>
      <t>7</t>
    </r>
    <r>
      <rPr>
        <sz val="10"/>
        <color rgb="FF222222"/>
        <rFont val="Arial"/>
        <family val="2"/>
      </rPr>
      <t>(4), e70194.</t>
    </r>
  </si>
  <si>
    <t>(Energy)</t>
  </si>
  <si>
    <t>(Power)</t>
  </si>
  <si>
    <r>
      <t>Bouman, E. A., Øberg, M. M., &amp; Hertwich, E. G. (2016). Environmental impacts of balancing offshore wind power with compressed air energy storage (CAES). </t>
    </r>
    <r>
      <rPr>
        <i/>
        <sz val="10"/>
        <color rgb="FF222222"/>
        <rFont val="Arial"/>
        <family val="2"/>
      </rPr>
      <t>Energy</t>
    </r>
    <r>
      <rPr>
        <sz val="10"/>
        <color rgb="FF222222"/>
        <rFont val="Arial"/>
        <family val="2"/>
      </rPr>
      <t>, </t>
    </r>
    <r>
      <rPr>
        <i/>
        <sz val="10"/>
        <color rgb="FF222222"/>
        <rFont val="Arial"/>
        <family val="2"/>
      </rPr>
      <t>95</t>
    </r>
    <r>
      <rPr>
        <sz val="10"/>
        <color rgb="FF222222"/>
        <rFont val="Arial"/>
        <family val="2"/>
      </rPr>
      <t>, 91-98.</t>
    </r>
  </si>
  <si>
    <t>Salt cavern</t>
  </si>
  <si>
    <t>Reinforcing steel {RER}| reinforcing steel production | Cut-off, S</t>
  </si>
  <si>
    <t>Lean concrete {CH}| market for lean concrete | Cut-off, S</t>
  </si>
  <si>
    <t>Steel, low-alloyed {RoW}| steel production, electric, low-alloyed | Cut-off, S</t>
  </si>
  <si>
    <t>Electricity, medium voltage {FR}| market for electricity, medium voltage | Cut-off, S</t>
  </si>
  <si>
    <t>Sheet rolling, steel {RER}| sheet rolling, steel | Cut-off, S</t>
  </si>
  <si>
    <t>Gravel, crushed {RoW}| market for gravel, crushed | Cut-off, S</t>
  </si>
  <si>
    <t>Thermal energy storage</t>
  </si>
  <si>
    <t>Sheet rolling, steel {GLO}| market for sheet rolling, steel | Cut-off, S</t>
  </si>
  <si>
    <t>Steel, low-alloyed {RER}| steel production, electric, low-alloyed | Cut-off, S</t>
  </si>
  <si>
    <t>Air coolers and other elements</t>
  </si>
  <si>
    <t>Steel, unalloyed {GLO}| market for steel, unalloyed | Cut-off, S</t>
  </si>
  <si>
    <t>Rock wool {GLO}| market for | Cut-off, S</t>
  </si>
  <si>
    <t>Wire drawing, copper {GLO}| market for wire drawing, copper | Cut-off, S</t>
  </si>
  <si>
    <t>Generator, 200kW electrical {RER}| generator production, 200kW electrical | Cut-off, S</t>
  </si>
  <si>
    <t>Copper, cathode {RER}| treatment of copper scrap by electrolytic refining | Cut-off, S</t>
  </si>
  <si>
    <t>Compressor, turbin, and generator</t>
  </si>
  <si>
    <t>Impact category</t>
  </si>
  <si>
    <t>600MWh</t>
  </si>
  <si>
    <t>450MWh</t>
  </si>
  <si>
    <t>10MW</t>
  </si>
  <si>
    <t>Sub-assembly - Nafion membrane</t>
  </si>
  <si>
    <t>Chemical factory, organics {GLO}| market for | Cut-off, U</t>
  </si>
  <si>
    <t>Item(s)</t>
  </si>
  <si>
    <t>Heat, district or industrial, natural gas {RoW}| market for heat, district or industrial, natural gas | Cut-off, U</t>
  </si>
  <si>
    <t>Hexafluoroethane {GLO}| market for | Cut-off, U</t>
  </si>
  <si>
    <t>Soda ash, dense {GLO}| market for | Cut-off, U</t>
  </si>
  <si>
    <t>Sodium hydroxide, without water, in 50% solution state {GLO}| market for | Cut-off, U</t>
  </si>
  <si>
    <t>Sodium hypochlorite, without water, in 15% solution state {RoW}| market for sodium hypochlorite, without water, in 15% solution state | Cut-off, U</t>
  </si>
  <si>
    <t>Sulfur trioxide {RoW}| market for sulfur trioxide | Cut-off, U</t>
  </si>
  <si>
    <t>Tetrafluoroethylene {GLO}| market for | Cut-off, U</t>
  </si>
  <si>
    <t>Transport, freight train {CN}| market for | Cut-off, U</t>
  </si>
  <si>
    <t>t∙km</t>
  </si>
  <si>
    <t>Transport, freight, lorry 16-32 metric ton, euro6 {RoW}| market for transport, freight, lorry 16-32 metric ton, EURO6 | Cut-off, U</t>
  </si>
  <si>
    <t>Outputs</t>
  </si>
  <si>
    <t>Nafion membrane, VRB</t>
  </si>
  <si>
    <t>Sodium fluoride</t>
  </si>
  <si>
    <t>Carbon dioxide, to air</t>
  </si>
  <si>
    <t>Sodium chloride, to water</t>
  </si>
  <si>
    <t>Sodium hydroxide, to water</t>
  </si>
  <si>
    <t>Bilge oil {RoW}| market for bilge oil | Cut-off, U, waste to treatment</t>
  </si>
  <si>
    <t>Spent solvent mixture {RoW}| market for spent solvent mixture | Cut-off, U, waste to treatment</t>
  </si>
  <si>
    <t>Waste plastic, consumer electronics, unsorted {RoW}| market for waste plastic, consumer electronics, unsorted | Cut-off, U, waste to treatment</t>
  </si>
  <si>
    <t>Sub-assembly - Raw carbon felt</t>
  </si>
  <si>
    <t>Ammonia, liquid {RoW}| market for | Cut-off, U</t>
  </si>
  <si>
    <t>Core board {GLO}| market for | Cut-off, U</t>
  </si>
  <si>
    <t>Electricity, medium voltage {GLO}| market group for | Cut-off, U</t>
  </si>
  <si>
    <t>kWh</t>
  </si>
  <si>
    <t>EUR-flat pallet {GLO}| market for | Cut-off, U</t>
  </si>
  <si>
    <t>Heat, district or industrial, other than natural gas {RoW}| market for | Cut-off, U</t>
  </si>
  <si>
    <t>Heat, from steam, in chemical industry {RoW}| market for heat, from steam, in chemical industry | Cut-off, U</t>
  </si>
  <si>
    <t>Lubricating oil {RoW}| market for lubricating oil | Cut-off, U</t>
  </si>
  <si>
    <t>Methyl methacrylate {RoW}| market for methyl methacrylate | Cut-off, U</t>
  </si>
  <si>
    <t>Packaging box factory {GLO}| market for | Cut-off, U</t>
  </si>
  <si>
    <t>Particle board, for outdoor use {GLO}| market for | Cut-off, U</t>
  </si>
  <si>
    <t>Propylene {RoW}| market for propylene | Cut-off, U</t>
  </si>
  <si>
    <t>Solid bleached board {GLO}| market for | Cut-off, U</t>
  </si>
  <si>
    <t>Steam, in chemical industry {RoW}| market for steam, in chemical industry | Cut-off, U</t>
  </si>
  <si>
    <t>Sulfuric acid {RoW}| zinc sulfide production | Cut-off, U</t>
  </si>
  <si>
    <t>Water, deionised {RoW}| market for water, deionised | Cut-off, U</t>
  </si>
  <si>
    <t>Water, cooling, unspecified natural origin, RER</t>
  </si>
  <si>
    <t>Raw carbon felt, VRB</t>
  </si>
  <si>
    <t>Ammonia, to air</t>
  </si>
  <si>
    <t>Propene, to air</t>
  </si>
  <si>
    <t>Water, to air</t>
  </si>
  <si>
    <t>Ammonium, ion, to water</t>
  </si>
  <si>
    <t>BOD5, Biological Oxygen Demand, to water</t>
  </si>
  <si>
    <t>COD, Chemical Oxygen Demand, to water</t>
  </si>
  <si>
    <t>DOC, Dissolved Organic Carbon, to water</t>
  </si>
  <si>
    <t>Propane, to water</t>
  </si>
  <si>
    <t>Sulfate, to water</t>
  </si>
  <si>
    <t>TOC, Total Organic Carbon, to water</t>
  </si>
  <si>
    <t>Water, RoW, to water</t>
  </si>
  <si>
    <t>Natural gas, burned in gas motor, for storage {GLO}| market for | Cut-off, U</t>
  </si>
  <si>
    <t>Electrode, VRB</t>
  </si>
  <si>
    <t>Nitrogen, total, to air</t>
  </si>
  <si>
    <t>Sub-assembly - Electrode</t>
  </si>
  <si>
    <t>Graphite, battery grade {CN}| graphite production, battery grade | Cut-off, S</t>
  </si>
  <si>
    <t>Core board {GLO}| market for core board | Cut-off, S</t>
  </si>
  <si>
    <t>EUR-flat pallet {GLO}| market for EUR-flat pallet | Cut-off, S</t>
  </si>
  <si>
    <t>Heat, central or small-scale, other than natural gas {GLO}| market group for heat, central or small-scale, other than natural gas | Cut-off, S</t>
  </si>
  <si>
    <t>Heat, district or industrial, natural gas {GLO}| market group for heat, district or industrial, natural gas | Cut-off, S</t>
  </si>
  <si>
    <t>Lubricating oil {RoW}| market for lubricating oil | Cut-off, S</t>
  </si>
  <si>
    <t>Packaging box factory {GLO}| market for packaging box factory | Cut-off, S</t>
  </si>
  <si>
    <t>Particle board, for outdoor use {GLO}| market for particle board, for outdoor use | Cut-off, S</t>
  </si>
  <si>
    <t>Polyethylene, high density, granulate {GLO}| market for polyethylene, high density, granulate | Cut-off, S</t>
  </si>
  <si>
    <t>Solid bleached board {GLO}| market for solid bleached board | Cut-off, S</t>
  </si>
  <si>
    <t>Steam, in chemical industry {RoW}| market for steam, in chemical industry | Cut-off, S</t>
  </si>
  <si>
    <t>Transport, freight, train, fleet average {RER}| market group for transport, freight, train, fleet average | Cut-off, S</t>
  </si>
  <si>
    <t>tkm</t>
  </si>
  <si>
    <t>Transport, freight, lorry, 16-32 metric ton, diesel, EURO 6 {RoW}| market for transport, freight, lorry, 16-32 metric ton, diesel, EURO 6 | Cut-off, S</t>
  </si>
  <si>
    <t>Water, deionised {RoW}| market for water, deionised | Cut-off, S</t>
  </si>
  <si>
    <t>Waste plastic, consumer electronics {RoW}| market for waste plastic, consumer electronics | Cut-off, S</t>
  </si>
  <si>
    <t>Bipolar plate, VRB</t>
  </si>
  <si>
    <t>Sub-assembly - Bipolar plate</t>
  </si>
  <si>
    <t>Sub-assembly - Current collector</t>
  </si>
  <si>
    <t>Copper {GLO}| market for | Cut-off, U</t>
  </si>
  <si>
    <t>Metal working factory {GLO}| market for | Cut-off, U</t>
  </si>
  <si>
    <t>Sheet rolling, copper {GLO}| market for | Cut-off, U</t>
  </si>
  <si>
    <t>Current collector, VRB</t>
  </si>
  <si>
    <t>Extrusion, plastic pipes {GLO}| market for | Cut-off, U</t>
  </si>
  <si>
    <t>Polyvinylchloride, emulsion polymerised {GLO}| market for | Cut-off, U</t>
  </si>
  <si>
    <t>PVC cell frame, VRB</t>
  </si>
  <si>
    <t>Sub-assembly - Cell frame</t>
  </si>
  <si>
    <t>Sub-assembly - Gasket</t>
  </si>
  <si>
    <t>Sub-assembly - Stack frame</t>
  </si>
  <si>
    <t>Sub-assembly - Electrolye tank</t>
  </si>
  <si>
    <t>Sub-assembly - Vanadium bearing magnetite</t>
  </si>
  <si>
    <t>Sub-assembly - Vanadium pentoxide bearing magnetite</t>
  </si>
  <si>
    <t>Sub-assembly - Vanadium pentoxide bearing cast iron</t>
  </si>
  <si>
    <t>Sub-assembly - Vanadium slag (25% V2O5)</t>
  </si>
  <si>
    <t>Sub-assembly - Vanadium pentoxide</t>
  </si>
  <si>
    <t>Sub-assembly - Vanadium sulfate mixture</t>
  </si>
  <si>
    <t>Sub-assembly - Vanadium trichloride</t>
  </si>
  <si>
    <t>Sub-assembly - Vanadium electrolyte</t>
  </si>
  <si>
    <t>Sub-assembly - Copper cable</t>
  </si>
  <si>
    <t>Sub-assembly - Pump</t>
  </si>
  <si>
    <t>Sub-assembly - Fan</t>
  </si>
  <si>
    <t>Sub-assembly - Pipes</t>
  </si>
  <si>
    <t>Sub-assembly - Steel housing</t>
  </si>
  <si>
    <t>Polyvinylfluoride {GLO}| market for | Cut-off, U</t>
  </si>
  <si>
    <t>Gasket, VRB</t>
  </si>
  <si>
    <t>Metal working, average for steel product manufacturing {GLO}| market for | Cut-off, U</t>
  </si>
  <si>
    <t>Steel, low-alloyed {GLO}| market for | Cut-off, U</t>
  </si>
  <si>
    <t>Welding, arc, steel {GLO}| market for | Cut-off, U</t>
  </si>
  <si>
    <t>M</t>
  </si>
  <si>
    <t>Stack frame, VRB</t>
  </si>
  <si>
    <t>Extrusion, plastic film {GLO}| market for | Cut-off, U</t>
  </si>
  <si>
    <t>Polyethylene, low density, granulate {GLO}| market for | Cut-off, U</t>
  </si>
  <si>
    <t>Electrolyte tank, VRB</t>
  </si>
  <si>
    <t>Iron in ore (72 % in magnetite, 14 % crude ore)</t>
  </si>
  <si>
    <t>Occupation, mineral extraction site</t>
  </si>
  <si>
    <t>TiO2, 54% in ilmenite, 18% in crude ore</t>
  </si>
  <si>
    <t>Transformation, from forest, unspecified</t>
  </si>
  <si>
    <t>Transformation, to mineral extraction site</t>
  </si>
  <si>
    <t>Vanadium ore (V2O5, in magnetite)</t>
  </si>
  <si>
    <t>Water, well, GLO</t>
  </si>
  <si>
    <t>Blasting {GLO}| market for | Cut-off, U</t>
  </si>
  <si>
    <t>Conveyor belt {GLO}| market for | Cut-off, U</t>
  </si>
  <si>
    <t>Diesel, burned in diesel-electric generating set, 10MW {GLO}| market for | Cut-off, U</t>
  </si>
  <si>
    <t>Electricity, medium voltage {CN}| market group for | Cut-off, U</t>
  </si>
  <si>
    <t>Heat, central or small-scale, natural gas {GLO}| market group for | Cut-off, U</t>
  </si>
  <si>
    <t>Industrial machine, heavy, unspecified {RoW}| market for industrial machine, heavy, unspecified | Cut-off, U</t>
  </si>
  <si>
    <t>Mine infrastructure, open cast, ilmenite from hard-rock ore {GLO}| market for | Cut-off, U</t>
  </si>
  <si>
    <t>Petrol, unleaded {RoW}| market for | Cut-off, U</t>
  </si>
  <si>
    <t>Recultivation, ilmenite mine {GLO}| market for | Cut-off, U</t>
  </si>
  <si>
    <t>Ilmenite, 54% titanium dioxide</t>
  </si>
  <si>
    <t>Particulates, &lt; 2.5 um, to air</t>
  </si>
  <si>
    <t>Particulates, &gt; 10 um, to air</t>
  </si>
  <si>
    <t>Particulates, &gt; 2.5 um, and &lt; 10um, to air</t>
  </si>
  <si>
    <t>Water to air</t>
  </si>
  <si>
    <t>Water, to water</t>
  </si>
  <si>
    <t>m2∙a</t>
  </si>
  <si>
    <t>Vanadium bearing magnetite (Magnetite 72 % Fe, 2.2 % V2O5)</t>
  </si>
  <si>
    <t>Water, unspecified natural origin, RoW</t>
  </si>
  <si>
    <t>Aluminium oxide factory {GLO}| market for | Cut-off, U</t>
  </si>
  <si>
    <t>Chromium {GLO}| market for | Cut-off, U</t>
  </si>
  <si>
    <t>Dolomite {RER}| market for dolomite | Cut-off, U</t>
  </si>
  <si>
    <t>Electricity, high voltage {GLO}| market group for | Cut-off, U</t>
  </si>
  <si>
    <t>Hard coal {CN}| market for | Cut-off, U</t>
  </si>
  <si>
    <t>Lime {RER}| market for lime | Cut-off, U</t>
  </si>
  <si>
    <t>Lubricating oil {RER}| market for lubricating oil | Cut-off, U</t>
  </si>
  <si>
    <t>Solvent, organic {GLO}| market for | Cut-off, U</t>
  </si>
  <si>
    <t>Steel, unalloyed {GLO}| market for | Cut-off, U</t>
  </si>
  <si>
    <t>Tap water {RoW}| market for | Cut-off, U</t>
  </si>
  <si>
    <t>Pre-reduced V2O5 magnetite</t>
  </si>
  <si>
    <t>Cadmium, to air</t>
  </si>
  <si>
    <t>Carbon dioxide, fossil, to air</t>
  </si>
  <si>
    <t>Carbon monoxide, fossil, to air</t>
  </si>
  <si>
    <t>Chromium, to air</t>
  </si>
  <si>
    <t>Copper, to air</t>
  </si>
  <si>
    <t>Dinitrogen monoxide, to air</t>
  </si>
  <si>
    <t>Dioxins, to air</t>
  </si>
  <si>
    <t>Hydrocarbons, aliphatic, alkanes, unspecified, to air</t>
  </si>
  <si>
    <t>Hydrogen chloride, to air</t>
  </si>
  <si>
    <t>Hydrogen fluoride, to air</t>
  </si>
  <si>
    <t>Lead, to air</t>
  </si>
  <si>
    <t>Manganese, to air</t>
  </si>
  <si>
    <t>Mercury, to air</t>
  </si>
  <si>
    <t>Methane, fossil, to air</t>
  </si>
  <si>
    <t>Nickel, to air</t>
  </si>
  <si>
    <t>Nitrogen oxides, to air</t>
  </si>
  <si>
    <t>NMVOC, non-methane volatile organic compounds, to air</t>
  </si>
  <si>
    <t>PAH, polycyclic aromatic hydrocarbons, to air</t>
  </si>
  <si>
    <t>Silver, to air</t>
  </si>
  <si>
    <t>Sulfur dioxide, to air</t>
  </si>
  <si>
    <t>Zinc, to air</t>
  </si>
  <si>
    <t>Arsenic, to water</t>
  </si>
  <si>
    <t>Cadmium, to water</t>
  </si>
  <si>
    <t>Chromium, to water</t>
  </si>
  <si>
    <t>Cobalt, to water</t>
  </si>
  <si>
    <t>Copper, to water</t>
  </si>
  <si>
    <t>Iron, to water</t>
  </si>
  <si>
    <t>Lead, to water</t>
  </si>
  <si>
    <t>Manganese, to water</t>
  </si>
  <si>
    <t>Mercury, to water</t>
  </si>
  <si>
    <t>Nickel, to water</t>
  </si>
  <si>
    <t>Nitrate, to water</t>
  </si>
  <si>
    <t>Phosphorus, to water</t>
  </si>
  <si>
    <t>Suspended solids, unspecified, to water</t>
  </si>
  <si>
    <t>Zinc, to water</t>
  </si>
  <si>
    <t>Scrap steel {CH}| market for scrap steel | Cut-off, U</t>
  </si>
  <si>
    <t>Scrap steel {Europe without Switzerland}| market for scrap steel | Cut-off, U</t>
  </si>
  <si>
    <t>Spent solvent mixture {Europe without Switzerland}| market for spent solvent mixture | Cut-off, U</t>
  </si>
  <si>
    <t>Waste mineral oil {Europe without Switzerland}| market for waste mineral oil | Cut-off, U</t>
  </si>
  <si>
    <t>Anode, for metal electrolysis {GLO}| market for | Cut-off, U</t>
  </si>
  <si>
    <t>Electric arc furnace converter {GLO}| market for | Cut-off, U</t>
  </si>
  <si>
    <t>Natural gas, high pressure {RoW}| market for | Cut-off, U</t>
  </si>
  <si>
    <t>Oxygen, liquid {RoW}| market for | Cut-off, U</t>
  </si>
  <si>
    <t>Pre-reduced V2O5 magnetite (Iron pellet {RoW}| production | Cut-off, U_ADAPTED)</t>
  </si>
  <si>
    <t>Quicklime, in pieces, loose {RoW}| market for quicklime, in pieces, loose | Cut-off, U</t>
  </si>
  <si>
    <t>Refractory, basic, packed {GLO}| market for | Cut-off, U</t>
  </si>
  <si>
    <t>Water, cooling, unspecified natural origin, RoW</t>
  </si>
  <si>
    <t>Vanadium pentoxide bearing cast iron</t>
  </si>
  <si>
    <t>Benzene, to air</t>
  </si>
  <si>
    <t>Hydrocarbons, aromatic, to air</t>
  </si>
  <si>
    <t>Polychlorinated biphenyls, to air</t>
  </si>
  <si>
    <t>Dust, unalloyed electric arc furnace steel {GLO}| market for | Cut-off, U, to water</t>
  </si>
  <si>
    <t>Inert waste, for final disposal {RoW}| market for inert waste, for final disposal | Cut-off, U, to water</t>
  </si>
  <si>
    <t>Slag, unalloyed electric arc furnace steel {GLO}| market for | Cut-off, U, to water</t>
  </si>
  <si>
    <t>Aluminium, wrought alloy {GLO}| market for | Cut-off, U</t>
  </si>
  <si>
    <t>Argon, liquid {RoW}| market for argon, liquid | Cut-off, U</t>
  </si>
  <si>
    <t>Cast iron {GLO}| market for | Cut-off, U</t>
  </si>
  <si>
    <t>Diesel, burned in building machine {GLO}| market for | Cut-off, U</t>
  </si>
  <si>
    <t>Electricity, low voltage {CN}| market group for | Cut-off, U</t>
  </si>
  <si>
    <t>Ethylene glycol {GLO}| market for | Cut-off, U</t>
  </si>
  <si>
    <t>Ferrochromium, high-carbon, 68% Cr {GLO}| market for | Cut-off, U</t>
  </si>
  <si>
    <t>Ferromanganese, high-coal, 74.5% Mn {GLO}| market for | Cut-off, U</t>
  </si>
  <si>
    <t>Ferrosilicon {GLO}| market for | Cut-off, U</t>
  </si>
  <si>
    <t>Molybdenum trioxide {GLO}| market for | Cut-off, U</t>
  </si>
  <si>
    <t>Nickel, 99.5% {GLO}| market for | Cut-off, U</t>
  </si>
  <si>
    <t>Propane, burned in building machine {GLO}| market for | Cut-off, U</t>
  </si>
  <si>
    <t>Steel, low-alloyed</t>
  </si>
  <si>
    <t xml:space="preserve">Vanadium slag </t>
  </si>
  <si>
    <t>Argon-40, to air</t>
  </si>
  <si>
    <t>Benzene, hexachloro-, to air</t>
  </si>
  <si>
    <t>Chloride, to water</t>
  </si>
  <si>
    <t>Chromium VI, to water</t>
  </si>
  <si>
    <t>Dust, unalloyed electric arc furnace steel {GLO}| market for | Cut-off, U, waste to treatment</t>
  </si>
  <si>
    <t>Inert waste, for final disposal {RoW}| market for inert waste, for final disposal | Cut-off, U, waste to treatment</t>
  </si>
  <si>
    <t>Scrap steel {RoW}| market for scrap steel | Cut-off, U, waste to treatment</t>
  </si>
  <si>
    <t>Slag, unalloyed electric arc furnace steel {GLO}| market for | Cut-off, U, waste to treatment</t>
  </si>
  <si>
    <t>Spent solvent mixture {Europe without Switzerland}| market for spent solvent mixture | Cut-off, U, waste to treatment</t>
  </si>
  <si>
    <t>Blast furnace slag {GLO}| market for | Cut-off, U, waste to treatment</t>
  </si>
  <si>
    <t>Vanadium slag</t>
  </si>
  <si>
    <t>Ammonium sulfate, as N {GLO}| market for | Cut-off, U</t>
  </si>
  <si>
    <t>Sodium sulfate, anhydrite {RoW}| market for | Cut-off, U</t>
  </si>
  <si>
    <t>Sulfuric acid {RoW}| market for sulfuric acid | Cut-off, U</t>
  </si>
  <si>
    <t>Transport, freight, lorry 16-32 metric ton, euro6 {RER}| market for transport, freight, lorry 16-32 metric ton, EURO6 | Cut-off, U</t>
  </si>
  <si>
    <t>Vanadium pentoxide, VRB</t>
  </si>
  <si>
    <t>Sodium sulfate, anhydrite</t>
  </si>
  <si>
    <t>Oxygen, to air</t>
  </si>
  <si>
    <t>Slag from metallurgical grade silicon production {GLO}| market for | Cut-off, U, waste to treatment</t>
  </si>
  <si>
    <t>Sulfur {GLO}| market for | Cut-off, U</t>
  </si>
  <si>
    <t>Vanadium sulfate mixture, VRB</t>
  </si>
  <si>
    <t>Hydrochloric acid, without water, in 30% solution state {RoW}| market for | Cut-off, U</t>
  </si>
  <si>
    <t>Hydrogen, liquid {RoW}| market for | Cut-off, U</t>
  </si>
  <si>
    <t>Vanadium trichloride, VRB</t>
  </si>
  <si>
    <t>Electrolyte, VRB</t>
  </si>
  <si>
    <t>Rolling mill {GLO}| market for | Cut-off, U</t>
  </si>
  <si>
    <t>Tap water {GLO}| market group for | Cut-off, U</t>
  </si>
  <si>
    <t>Wire drawing, copper {GLO}| market for | Cut-off, U</t>
  </si>
  <si>
    <t>Copper cable, VRB</t>
  </si>
  <si>
    <t>Hazardous waste, for incineration {RoW}| treatment of hazardous waste, hazardous waste incineration | Cut-off, U</t>
  </si>
  <si>
    <t>Waste plastic, mixture {GLO}| market for | Cut-off, U, to treatment</t>
  </si>
  <si>
    <t>Transport, freight, sea, container ship {GLO}| market for transport, freight, sea, container ship | Cut-off, U</t>
  </si>
  <si>
    <t>Pump, VRB</t>
  </si>
  <si>
    <t>Aluminium, cast alloy {GLO}| market for | Cut-off, U</t>
  </si>
  <si>
    <t>Copper cable</t>
  </si>
  <si>
    <t>Glass fibre reinforced plastic, polyamide, injection moulded {GLO}| market for | Cut-off, U</t>
  </si>
  <si>
    <t>Injection moulding {GLO}| market for | Cut-off, U</t>
  </si>
  <si>
    <t>Transport, freight, lorry, unspecified {RoW}| market for transport, freight, lorry, unspecified | Cut-off, U</t>
  </si>
  <si>
    <t>Fan, VRB</t>
  </si>
  <si>
    <t>Polypropylene, granulate {GLO}| market for | Cut-off, U</t>
  </si>
  <si>
    <t>Pipes, VRB</t>
  </si>
  <si>
    <t>Sheet rolling, steel {GLO}| market for | Cut-off, U</t>
  </si>
  <si>
    <t>Steel housing, VRB</t>
  </si>
  <si>
    <t>Bipolar plate</t>
  </si>
  <si>
    <t>Current collector</t>
  </si>
  <si>
    <t>Electrolyte</t>
  </si>
  <si>
    <t>Electrolyte tank</t>
  </si>
  <si>
    <t>Fan</t>
  </si>
  <si>
    <t>Gasket</t>
  </si>
  <si>
    <t>Nafion membrane</t>
  </si>
  <si>
    <t>Electrode</t>
  </si>
  <si>
    <t>Pipes</t>
  </si>
  <si>
    <t>Pump</t>
  </si>
  <si>
    <t>PVC cell frame</t>
  </si>
  <si>
    <t>Sawnwood, board, hardwood, dried (u=10%), planed {GLO}| market for | Cut-off, U</t>
  </si>
  <si>
    <t>Stack frame</t>
  </si>
  <si>
    <t>Steel housing</t>
  </si>
  <si>
    <t>Inverter, 2.5kW {GLO}| market for | Cut-off, U</t>
  </si>
  <si>
    <t>Computer, laptop {GLO}| market for | Cut-off, U</t>
  </si>
  <si>
    <t>Generic component split (E/P): 0.83/0.17</t>
  </si>
  <si>
    <r>
      <t>da Silva Lima, L., Quartier, M., Buchmayr, A., Sanjuan-Delmás, D., Laget, H., Corbisier, D., ... &amp; Dewulf, J. (2021). Life cycle assessment of lithium-ion batteries and vanadium redox flow batteries-based renewable energy storage systems. </t>
    </r>
    <r>
      <rPr>
        <i/>
        <sz val="10"/>
        <color rgb="FF222222"/>
        <rFont val="Arial"/>
        <family val="2"/>
      </rPr>
      <t>Sustainable Energy Technologies and Assessments</t>
    </r>
    <r>
      <rPr>
        <sz val="10"/>
        <color rgb="FF222222"/>
        <rFont val="Arial"/>
        <family val="2"/>
      </rPr>
      <t>, </t>
    </r>
    <r>
      <rPr>
        <i/>
        <sz val="10"/>
        <color rgb="FF222222"/>
        <rFont val="Arial"/>
        <family val="2"/>
      </rPr>
      <t>46</t>
    </r>
    <r>
      <rPr>
        <sz val="10"/>
        <color rgb="FF222222"/>
        <rFont val="Arial"/>
        <family val="2"/>
      </rPr>
      <t>, 101286.</t>
    </r>
  </si>
  <si>
    <t>7.5kW</t>
  </si>
  <si>
    <t>30 kWh</t>
  </si>
  <si>
    <t>37.5 kWh</t>
  </si>
  <si>
    <t>Transport</t>
  </si>
  <si>
    <t>t-km</t>
  </si>
  <si>
    <t>Cell frame</t>
  </si>
  <si>
    <t>Steel Housing</t>
  </si>
  <si>
    <t>Sawnwood, board, hardwood, dried (u=10%), planed {GLO}| market for sawnwood, board, hardwood, dried (u=10%), planed | Cut-off, S</t>
  </si>
  <si>
    <t>Transport, freight, lorry 16-32 metric ton, EURO6 {RoW}| market for transport, freight, lorry 16-32 metric ton, EURO6 | Cut-off, S</t>
  </si>
  <si>
    <t>Transport, freight, sea, container ship {GLO}| market for transport, freight, sea, container ship | Cut-off, S</t>
  </si>
  <si>
    <r>
      <t>Rahman, M. M., Gemechu, E., Oni, A. O., &amp; Kumar, A. (2021). Energy and environmental footprints of flywheels for utility-scale energy storage applications. </t>
    </r>
    <r>
      <rPr>
        <i/>
        <sz val="10"/>
        <color rgb="FF222222"/>
        <rFont val="Arial"/>
        <family val="2"/>
      </rPr>
      <t>e-Prime-Advances in Electrical Engineering, Electronics and Energy</t>
    </r>
    <r>
      <rPr>
        <sz val="10"/>
        <color rgb="FF222222"/>
        <rFont val="Arial"/>
        <family val="2"/>
      </rPr>
      <t>, </t>
    </r>
    <r>
      <rPr>
        <i/>
        <sz val="10"/>
        <color rgb="FF222222"/>
        <rFont val="Arial"/>
        <family val="2"/>
      </rPr>
      <t>1</t>
    </r>
    <r>
      <rPr>
        <sz val="10"/>
        <color rgb="FF222222"/>
        <rFont val="Arial"/>
        <family val="2"/>
      </rPr>
      <t>, 100020.</t>
    </r>
  </si>
  <si>
    <t>Power conversion system (AC-DC-AC)</t>
  </si>
  <si>
    <t>Aluminium, primary, ingot {GLO}| market for | Cut-off, S</t>
  </si>
  <si>
    <t>Glass fibre reinforced plastic, polyamide, injection moulded {GLO}| market for glass fibre reinforced plastic, polyamide, injection moulded | Cut-off, S</t>
  </si>
  <si>
    <t>Heat, district or industrial, other than natural gas {RoW}| heat, from municipal waste incineration to generic market for heat, district or industrial, other than natural gas | Cut-off, S</t>
  </si>
  <si>
    <t>GJ</t>
  </si>
  <si>
    <t>Natural gas, burned in gas turbine {GLO}| market for natural gas, burned in gas turbine | Cut-off, S</t>
  </si>
  <si>
    <t>Heat, district or industrial, other than natural gas {RoW}| heat production, light fuel oil, at industrial furnace 1MW | Cut-off, S</t>
  </si>
  <si>
    <t>MWh</t>
  </si>
  <si>
    <t>Steel rotor</t>
  </si>
  <si>
    <t>Nickel, class 1 {GLO}| market for nickel, class 1 | Cut-off, S</t>
  </si>
  <si>
    <t>Chromium {GLO}| market for chromium | Cut-off, S</t>
  </si>
  <si>
    <t>Manganese {GLO}| market for manganese | Cut-off, S</t>
  </si>
  <si>
    <t>Carbon black {GLO}| market for carbon black | Cut-off, S</t>
  </si>
  <si>
    <t>Molybdenum {GLO}| market for molybdenum | Cut-off, S</t>
  </si>
  <si>
    <t>Silicon, metallurgical grade {GLO}| market for silicon, metallurgical grade | Cut-off, S</t>
  </si>
  <si>
    <t>Rotor shaft</t>
  </si>
  <si>
    <t>Bearings</t>
  </si>
  <si>
    <t>Liquefied petroleum gas {GLO}| market group for liquefied petroleum gas | Cut-off, S</t>
  </si>
  <si>
    <t>ton</t>
  </si>
  <si>
    <t>Housing</t>
  </si>
  <si>
    <t>Diesel, burned in diesel-electric generating set {GLO}| market for | Cut-off, S</t>
  </si>
  <si>
    <t>Heat, district or industrial, other than natural gas {RoW}| heat production, at hard coal industrial furnace 1-10MW | Cut-off, S</t>
  </si>
  <si>
    <t>Vacuum pump</t>
  </si>
  <si>
    <t>Generic component split (E/P): 0.86/0.14</t>
  </si>
  <si>
    <t>All other components except transportation were classified directly in full (i.e. they are all either completely power-specific or energy-specfic)</t>
  </si>
  <si>
    <t>20MW</t>
  </si>
  <si>
    <t>5MWh</t>
  </si>
  <si>
    <r>
      <t>Terlouw, T., Bauer, C., McKenna, R., &amp; Mazzotti, M. (2022). Large-scale hydrogen production via water electrolysis: a techno-economic and environmental assessment. </t>
    </r>
    <r>
      <rPr>
        <i/>
        <sz val="10"/>
        <color rgb="FF222222"/>
        <rFont val="Arial"/>
        <family val="2"/>
      </rPr>
      <t>Energy &amp; Environmental Science</t>
    </r>
    <r>
      <rPr>
        <sz val="10"/>
        <color rgb="FF222222"/>
        <rFont val="Arial"/>
        <family val="2"/>
      </rPr>
      <t>, </t>
    </r>
    <r>
      <rPr>
        <i/>
        <sz val="10"/>
        <color rgb="FF222222"/>
        <rFont val="Arial"/>
        <family val="2"/>
      </rPr>
      <t>15</t>
    </r>
    <r>
      <rPr>
        <sz val="10"/>
        <color rgb="FF222222"/>
        <rFont val="Arial"/>
        <family val="2"/>
      </rPr>
      <t>(9), 3583-3602.</t>
    </r>
  </si>
  <si>
    <r>
      <t>Gulotta, T. M., Salomone, R., Mondello, G., Saija, G., Lanuzza, F., &amp; Briguglio, N. (2023). Life Cycle Assessment and Environmental Life Cycle costing of a unitised regenerative fuel cell stack. </t>
    </r>
    <r>
      <rPr>
        <i/>
        <sz val="10"/>
        <color rgb="FF222222"/>
        <rFont val="Arial"/>
        <family val="2"/>
      </rPr>
      <t>Science of The Total Environment</t>
    </r>
    <r>
      <rPr>
        <sz val="10"/>
        <color rgb="FF222222"/>
        <rFont val="Arial"/>
        <family val="2"/>
      </rPr>
      <t>, </t>
    </r>
    <r>
      <rPr>
        <i/>
        <sz val="10"/>
        <color rgb="FF222222"/>
        <rFont val="Arial"/>
        <family val="2"/>
      </rPr>
      <t>901</t>
    </r>
    <r>
      <rPr>
        <sz val="10"/>
        <color rgb="FF222222"/>
        <rFont val="Arial"/>
        <family val="2"/>
      </rPr>
      <t>, 166007.</t>
    </r>
  </si>
  <si>
    <t>Fuel cell</t>
  </si>
  <si>
    <t>Electrolyser</t>
  </si>
  <si>
    <t>Storage tank</t>
  </si>
  <si>
    <r>
      <t>Bareiß, K., de la Rua, C., Möckl, M., &amp; Hamacher, T. (2019). Life cycle assessment of hydrogen from proton exchange membrane water electrolysis in future energy systems. </t>
    </r>
    <r>
      <rPr>
        <i/>
        <sz val="10"/>
        <color rgb="FF222222"/>
        <rFont val="Arial"/>
        <family val="2"/>
      </rPr>
      <t>Applied Energy</t>
    </r>
    <r>
      <rPr>
        <sz val="10"/>
        <color rgb="FF222222"/>
        <rFont val="Arial"/>
        <family val="2"/>
      </rPr>
      <t>, </t>
    </r>
    <r>
      <rPr>
        <i/>
        <sz val="10"/>
        <color rgb="FF222222"/>
        <rFont val="Arial"/>
        <family val="2"/>
      </rPr>
      <t>237</t>
    </r>
    <r>
      <rPr>
        <sz val="10"/>
        <color rgb="FF222222"/>
        <rFont val="Arial"/>
        <family val="2"/>
      </rPr>
      <t>, 862-872.</t>
    </r>
  </si>
  <si>
    <r>
      <t>Palmer, G., Roberts, A., Hoadley, A., Dargaville, R., &amp; Honnery, D. (2021). Life-cycle greenhouse gas emissions and net energy assessment of large-scale hydrogen production via electrolysis and solar PV. </t>
    </r>
    <r>
      <rPr>
        <i/>
        <sz val="10"/>
        <color rgb="FF222222"/>
        <rFont val="Arial"/>
        <family val="2"/>
      </rPr>
      <t>Energy &amp; Environmental Science</t>
    </r>
    <r>
      <rPr>
        <sz val="10"/>
        <color rgb="FF222222"/>
        <rFont val="Arial"/>
        <family val="2"/>
      </rPr>
      <t>, </t>
    </r>
    <r>
      <rPr>
        <i/>
        <sz val="10"/>
        <color rgb="FF222222"/>
        <rFont val="Arial"/>
        <family val="2"/>
      </rPr>
      <t>14</t>
    </r>
    <r>
      <rPr>
        <sz val="10"/>
        <color rgb="FF222222"/>
        <rFont val="Arial"/>
        <family val="2"/>
      </rPr>
      <t>(10), 5113-5131.</t>
    </r>
  </si>
  <si>
    <t>The Terlouw et al (2022)/Bareiß et al (2019) inventory included a 1000kg of control electronics for a rectifier in their "Balance of Plant" system. They did not consider a system that also contains a fuel cell to refeed electricity to the grid. To simulate a bidirectional system like this, an inverter is included (alongside the fuel cell inventory from Gulotta et al (2023)). Since inverters can act as rectifiers with little modification, the 1000 kg of rectifier electronics from Terlouw et al (2022) / Bareiß et al (2019) are excluded, leaving only 100kg of control electronics for the electrochemical operation of the electrolyser.</t>
  </si>
  <si>
    <t>Aluminium, wrought alloy {GLO}| market for aluminium, wrought alloy | Cut-off, S</t>
  </si>
  <si>
    <t>Activated carbon, granular {GLO}| market for activated carbon, granular | Cut-off, S</t>
  </si>
  <si>
    <t>Copper, anode {GLO}| market for copper, anode | Cut-off, S</t>
  </si>
  <si>
    <t>Platinum {GLO}| market for platinum | Cut-off, S</t>
  </si>
  <si>
    <t>Steel, chromium steel 18/8, hot rolled {GLO}| market for steel, chromium steel 18/8, hot rolled | Cut-off, S</t>
  </si>
  <si>
    <t>Tetrafluoroethylene {GLO}| market for tetrafluoroethylene | Cut-off, S</t>
  </si>
  <si>
    <t>Titanium {GLO}| market for titanium | Cut-off, S</t>
  </si>
  <si>
    <t>Iridium</t>
  </si>
  <si>
    <t>Electrolyser stack</t>
  </si>
  <si>
    <t>1 kW</t>
  </si>
  <si>
    <t>Chemical, organic {GLO}| market for chemical, organic | Cut-off, S</t>
  </si>
  <si>
    <t>Concrete, normal {GLO}| market for | Cut-off, S</t>
  </si>
  <si>
    <t>Electronics, for control units {GLO}| market for electronics, for control units | Cut-off, S</t>
  </si>
  <si>
    <t>Polypropylene, granulate {GLO}| market for polypropylene, granulate | Cut-off, S</t>
  </si>
  <si>
    <t>Balance of Plant</t>
  </si>
  <si>
    <t>Occupation, industrial area</t>
  </si>
  <si>
    <t>m2a</t>
  </si>
  <si>
    <t>Transformation, from grassland, natural (non-use)</t>
  </si>
  <si>
    <t>Transformation, to industrial area</t>
  </si>
  <si>
    <t>Inverter, 500kW {GLO}| market for inverter, 500kW | Cut-off, S</t>
  </si>
  <si>
    <t>Electricity, low voltage {Europe without Switzerland}| market group for electricity, low voltage | Cut-off, S</t>
  </si>
  <si>
    <t>Polymer foaming {RER}| polymer foaming | Cut-off, S</t>
  </si>
  <si>
    <t>Heat, district or industrial, natural gas {RER}| market group for heat, district or industrial, natural gas | Cut-off, S</t>
  </si>
  <si>
    <t>Isopropanol {RER}| isopropanol production | Cut-off, S</t>
  </si>
  <si>
    <t>Sulfuric acid {GLO}| market for | Cut-off, S</t>
  </si>
  <si>
    <t>Polyethylene, linear low density, granulate {GLO}| market for polyethylene, linear low density, granulate | Cut-off, S</t>
  </si>
  <si>
    <t>Water, deionised {CH}| water production, deionised | Cut-off, S</t>
  </si>
  <si>
    <t>Palladium {GLO}| market for palladium | Cut-off, S</t>
  </si>
  <si>
    <t>Titanium dioxide {RER}| market for titanium dioxide | Cut-off, S</t>
  </si>
  <si>
    <t>Metal working, average for metal product manufacturing {RER}| metal working, average for metal product manufacturing | Cut-off, S</t>
  </si>
  <si>
    <t>Deep drawing, steel, 3500 kN press, automode {RER}| deep drawing, steel, 3500 kN press, automode | Cut-off, S</t>
  </si>
  <si>
    <t>Methanol {GLO}| market for methanol | Cut-off, S</t>
  </si>
  <si>
    <t>Steam, in chemical industry {RER}| steam production, in chemical industry | Cut-off, S</t>
  </si>
  <si>
    <t>Isopropanol {RER}| market for isopropanol | Cut-off, S</t>
  </si>
  <si>
    <t>Sulfuric acid {RER}| market for sulfuric acid | Cut-off, S</t>
  </si>
  <si>
    <t>Polyethylene terephthalate, granulate, amorphous {Europe without Switzerland}| polyethylene terephthalate, granulate, amorphous, recycled to generic market for amorphous PET granulate | Cut-off, S</t>
  </si>
  <si>
    <t>Injection moulding {RER}| injection moulding | Cut-off, S</t>
  </si>
  <si>
    <t>Boric oxide {GLO}| market for boric oxide | Cut-off, S</t>
  </si>
  <si>
    <t>Ammonium chloride {GLO}| market for ammonium chloride | Cut-off, S</t>
  </si>
  <si>
    <t>Copper-rich materials {GLO}| market for copper-rich materials | Cut-off, S</t>
  </si>
  <si>
    <t>Metal working, average for steel product manufacturing {RER}| metal working, average for steel product manufacturing | Cut-off, S</t>
  </si>
  <si>
    <t>Aluminium alloy, AlMg3 {RER}| aluminium alloy production, AlMg3 | Cut-off, S</t>
  </si>
  <si>
    <t>Anodising, aluminium sheet {RER}| anodising, aluminium sheet | Cut-off, S</t>
  </si>
  <si>
    <t>Metal working, average for aluminium product manufacturing {RER}| metal working, average for aluminium product manufacturing | Cut-off, S</t>
  </si>
  <si>
    <t>9.661 MWh</t>
  </si>
  <si>
    <t>Steel, chromium steel 18/8, hot rolled {RER}| steel production, chromium steel 18/8, hot rolled | Cut-off, S</t>
  </si>
  <si>
    <t>1.12905 MWh</t>
  </si>
  <si>
    <t>1.3 MWh</t>
  </si>
  <si>
    <t>1.12905 MW</t>
  </si>
  <si>
    <t>Battery trays</t>
  </si>
  <si>
    <t>Bimetallic busbars</t>
  </si>
  <si>
    <t>End busbar, aluminum</t>
  </si>
  <si>
    <t>End busbar, copper</t>
  </si>
  <si>
    <t>Rack housing</t>
  </si>
  <si>
    <t>Inverter</t>
  </si>
  <si>
    <t>Injection moulding {GLO}| market for injection moulding | Cut-off, S</t>
  </si>
  <si>
    <t>Metal working factory {GLO}| market for metal working factory | Cut-off, S</t>
  </si>
  <si>
    <t>Metal working, average for steel product manufacturing {GLO}| market for metal working, average for steel product manufacturing | Cut-off, S</t>
  </si>
  <si>
    <t>Transport, freight, sea, container ship, heavy fuel oil {GLO}| market for transport, freight, sea, container ship, heavy fuel oil | Cut-off, S</t>
  </si>
  <si>
    <t>Transport, freight, lorry, unspecified {GLO}| market for | Cut-off, S</t>
  </si>
  <si>
    <t>Powder coat, steel {GLO}| market for powder coat, steel | Cut-off, S</t>
  </si>
  <si>
    <t>Printed wiring board, through-hole mounted, unspecified, Pb free {GLO}| market for printed wiring board, through-hole mounted, unspecified, Pb free | Cut-off, S</t>
  </si>
  <si>
    <t>Sub-assembly - Bimetallic busbars</t>
  </si>
  <si>
    <t>Sub-assembly - End busbar, aluminium</t>
  </si>
  <si>
    <t>Sub-assembly - End busbar, copper</t>
  </si>
  <si>
    <t>Aluminium, cast alloy {GLO}| market for aluminium, cast alloy | Cut-off, S</t>
  </si>
  <si>
    <t>Acrylonitrile-butadiene-styrene copolymer {GLO}| market for acrylonitrile-butadiene-styrene copolymer | Cut-off, S</t>
  </si>
  <si>
    <t>Metal working, average for aluminium product manufacturing {GLO}| market for metal working, average for aluminium product manufacturing | Cut-off, S</t>
  </si>
  <si>
    <t>Metal working, average for copper product manufacturing {GLO}| market for metal working, average for copper product manufacturing | Cut-off, S</t>
  </si>
  <si>
    <t>Plastic processing factory {GLO}| market for plastic processing factory | Cut-off, S</t>
  </si>
  <si>
    <t>Anode, graphite, for lithium-ion battery {GLO}| market for anode, graphite, for lithium-ion battery | Cut-off, S</t>
  </si>
  <si>
    <t>Ethylene carbonate {GLO}| market for ethylene carbonate | Cut-off, S</t>
  </si>
  <si>
    <t>Lithium hexafluorophosphate {CN}| market for lithium hexafluorophosphate | Cut-off, S</t>
  </si>
  <si>
    <t>Singhal et al (2025) do not specify what type of transportation is used. With the aim of resembling a representative but simplistic transportation mix, this paper assumes that transport is split 50%/50% between container ships and lorries.</t>
  </si>
  <si>
    <r>
      <t>Porzio, J., Wolfson, D., Auffhammer, M., &amp; Scown, C. D. (2023). Private and external costs and benefits of replacing high-emitting peaker plants with batteries. </t>
    </r>
    <r>
      <rPr>
        <i/>
        <sz val="10"/>
        <color rgb="FF222222"/>
        <rFont val="Arial"/>
        <family val="2"/>
      </rPr>
      <t>Environmental science &amp; technology</t>
    </r>
    <r>
      <rPr>
        <sz val="10"/>
        <color rgb="FF222222"/>
        <rFont val="Arial"/>
        <family val="2"/>
      </rPr>
      <t>, </t>
    </r>
    <r>
      <rPr>
        <i/>
        <sz val="10"/>
        <color rgb="FF222222"/>
        <rFont val="Arial"/>
        <family val="2"/>
      </rPr>
      <t>57</t>
    </r>
    <r>
      <rPr>
        <sz val="10"/>
        <color rgb="FF222222"/>
        <rFont val="Arial"/>
        <family val="2"/>
      </rPr>
      <t>(12), 4992-5002.</t>
    </r>
  </si>
  <si>
    <r>
      <t>Porzio, J., &amp; Scown, C. D. (2021). Life‐cycle assessment considerations for batteries and battery materials. </t>
    </r>
    <r>
      <rPr>
        <i/>
        <sz val="10"/>
        <color rgb="FF222222"/>
        <rFont val="Arial"/>
        <family val="2"/>
      </rPr>
      <t>Advanced Energy Materials</t>
    </r>
    <r>
      <rPr>
        <sz val="10"/>
        <color rgb="FF222222"/>
        <rFont val="Arial"/>
        <family val="2"/>
      </rPr>
      <t>, </t>
    </r>
    <r>
      <rPr>
        <i/>
        <sz val="10"/>
        <color rgb="FF222222"/>
        <rFont val="Arial"/>
        <family val="2"/>
      </rPr>
      <t>11</t>
    </r>
    <r>
      <rPr>
        <sz val="10"/>
        <color rgb="FF222222"/>
        <rFont val="Arial"/>
        <family val="2"/>
      </rPr>
      <t>(33), 2100771.</t>
    </r>
  </si>
  <si>
    <t>Output</t>
  </si>
  <si>
    <t>LFP battery cell</t>
  </si>
  <si>
    <t>MWh (cap)</t>
  </si>
  <si>
    <t>Lithium iron phosphate {CN}| market for lithium iron phosphate | Cut-off, S</t>
  </si>
  <si>
    <t>Polyvinylidenchloride, granulate {GLO}| market for | Cut-off, S</t>
  </si>
  <si>
    <t>Dimethyl carbonate {GLO}| market for dimethyl carbonate | Cut-off, S</t>
  </si>
  <si>
    <t>Polyethylene terephthalate, granulate, amorphous {GLO}| market for polyethylene terephthalate, granulate, amorphous | Cut-off, S</t>
  </si>
  <si>
    <t>Supercapacitor</t>
  </si>
  <si>
    <t>Singhal et al (2025) give the most comprehensive assessment of a lithium-ion battery's life cycle (both in terms of project scope and life cycle stages). It does so for an NMC battery chemistry, though. Most grid-scale lithium-ion batteries today are LFP. For this reason, their battery cell components were replaced with the LFP inventory from Porzio et al (2023).</t>
  </si>
  <si>
    <t>Battery cell</t>
  </si>
  <si>
    <r>
      <t>Singhal, A., Arora, P., Kumar, A., Jain, H., Sharma, A.K., Bhosale, A.C., Singh, R., Saini, S.K., Rakshit, D., Parihar, A.K.S. and Arora, S. (2025). Integrated life cycle assessment and techno-economic analysis of grid-scale energy storage alternatives for India. </t>
    </r>
    <r>
      <rPr>
        <i/>
        <sz val="10"/>
        <color rgb="FF222222"/>
        <rFont val="Arial"/>
        <family val="2"/>
      </rPr>
      <t>Sustainable Production and Consumption</t>
    </r>
    <r>
      <rPr>
        <sz val="10"/>
        <color rgb="FF222222"/>
        <rFont val="Arial"/>
        <family val="2"/>
      </rPr>
      <t>, </t>
    </r>
    <r>
      <rPr>
        <i/>
        <sz val="10"/>
        <color rgb="FF222222"/>
        <rFont val="Arial"/>
        <family val="2"/>
      </rPr>
      <t>54</t>
    </r>
    <r>
      <rPr>
        <sz val="10"/>
        <color rgb="FF222222"/>
        <rFont val="Arial"/>
        <family val="2"/>
      </rPr>
      <t>, 404-422.</t>
    </r>
  </si>
  <si>
    <t>Acrylonitrile-butadiene-styrene copolymer {GLO}| market for | Cut-off, U</t>
  </si>
  <si>
    <t>Aluminium casting facility {GLO}| market for | Cut-off, U</t>
  </si>
  <si>
    <t>Metal working, average for aluminium product manufacturing {GLO}| market for | Cut-off, U</t>
  </si>
  <si>
    <t>Plastic processing factory {GLO}| market for | Cut-off, U</t>
  </si>
  <si>
    <t>End busbar, aluminium</t>
  </si>
  <si>
    <t>Metal working, average for copper product manufacturing {GLO}| market for | Cut-off, U</t>
  </si>
  <si>
    <t>1.3 MW</t>
  </si>
  <si>
    <t>Generic component split (E/P): 0.953/0.047</t>
  </si>
  <si>
    <t>Battery cell, Li-ion (LFP)</t>
  </si>
  <si>
    <t>Sub-assembly - Battery cell (LFP)</t>
  </si>
  <si>
    <t>Activated carbon electrode</t>
  </si>
  <si>
    <t>Aluminum foil</t>
  </si>
  <si>
    <t>Sub-assembly - Supercapacitor cell</t>
  </si>
  <si>
    <t>Sulfuric acid</t>
  </si>
  <si>
    <t>market for sheet rolling, aluminium | sheet rolling, aluminium</t>
  </si>
  <si>
    <t>Sub-assembly - Activated carbon</t>
  </si>
  <si>
    <t>NMVOC, non-methane volatile organic compounds</t>
  </si>
  <si>
    <t>Aluminium, wrought alloy {GLO}| aluminium ingot, primary, to aluminium, wrought alloy market | Cut-off, S</t>
  </si>
  <si>
    <t>Packaging film, low density polyethylene {GLO}| market for packaging film, low density polyethylene | Cut-off, S</t>
  </si>
  <si>
    <t>Sub-assembly - Aluminium busbars</t>
  </si>
  <si>
    <t>Aluminium busbar</t>
  </si>
  <si>
    <t>Activated carbon</t>
  </si>
  <si>
    <t>Sub-assembly - Activated carbon electrode</t>
  </si>
  <si>
    <t>Wh</t>
  </si>
  <si>
    <t>x</t>
  </si>
  <si>
    <t>Sub-assembly - Sulfuric acid</t>
  </si>
  <si>
    <t>Sub-assembly - Aluminium foil</t>
  </si>
  <si>
    <t>Aluminium foil</t>
  </si>
  <si>
    <t>Spent solvent mixture {GLO}| market for | Cut-off, S</t>
  </si>
  <si>
    <t>Dimethyl sulfoxide {GLO}| market for dimethyl sulfoxide | Cut-off, S</t>
  </si>
  <si>
    <t>water</t>
  </si>
  <si>
    <t>Carbon dioxide</t>
  </si>
  <si>
    <t>Supercapacitor cell</t>
  </si>
  <si>
    <t>Lithium-ion batteries only use bimetallic busbars because Lithium can react with the aluminium from the current collector. Since this is not an issue with Supercapacitors, the copper current collector is usually replaced with an aluminium current collector. This also eliminates the need for bimetallic busbars, instead allowing for a mono-metallic aluminium busbar. To reflect this in the inventory from Singhal et al (2025), the copper components are replaced by aluminium (0.48kg of Aluminium for every 1kg of Copper because of different conductivities and densities).</t>
  </si>
  <si>
    <t>Since supercapacitor cells are heavier and larger (per unit of energy capacity), the energy-specific structural components (trays and housing) were adjusted by the weight factor (weight of supercapacitor cell / weight of Li-ion cell = 956)</t>
  </si>
  <si>
    <t>Kamali, A. K., Glogic, E., Keppetipola, N. M., Sonnemann, G., Toupance, T., &amp; Cojocaru, L. (2023). Prospective life cycle assessment of two supercapacitor architectures. ACS Sustainable Chemistry &amp; Engineering, 11(44), 15898-15909.</t>
  </si>
  <si>
    <t>Organic waste (including heavy ends, still bottoms, light ends, spent solvents, filtrates, and de...</t>
  </si>
  <si>
    <t>For the cocount shells, Kamali et al (2023) cite their earlier paper (Glogic et al, 2022), which states that 6.7 kg of coconuts were used for 1 kg of shells. Using economic allocation they attribute 6% of the impact to the shells, meaning their 3.65 kg of coconut shells correspond to the production of 1.47 kg of coconuts.</t>
  </si>
  <si>
    <t>Coconut, dehusked {RoW}| coconut production, dehusked | Cut-off, S</t>
  </si>
  <si>
    <t>Paper, woodcontaining, lightweight coated {RoW}| paper production, woodcontaining, lightweight coated | Cut-off, S</t>
  </si>
  <si>
    <t>Lubricant oil</t>
  </si>
  <si>
    <t>2.67E-02</t>
  </si>
  <si>
    <t>Transport, freight, lorry, 16-32 metric ton, diesel, EURO 6 {RoW}| transport, freight, lorry, 16-32 metric ton, diesel, EURO 6 | Cut-off, S</t>
  </si>
  <si>
    <t>COD (Chemical Oxygen Demand)</t>
  </si>
  <si>
    <t>BOD5 (Biological Oxygen Demand)</t>
  </si>
  <si>
    <t>Kallitsis et al (2024) refers to the following paper: Kallitsis, E., Lindsay, J. J., Chordia, M., Wu, B., Offer, G. J., &amp; Edge, J. S. (2024). Think global act local: The dependency of global lithium-ion battery emissions on production location and material sources. Journal of cleaner production, 449, 141725.</t>
  </si>
  <si>
    <t>Glogic et al (2022) refers to the following paper: Glogic, E., Kamali, A. K., Keppetipola, N. M., Alonge, B., Kumara, G. A., Sonnemann, G., ... &amp; Cojocaru, L. (2022). Life cycle assessment of supercapacitor electrodes based on activated carbon from coconut shells. ACS Sustainable Chemistry &amp; Engineering, 10(46), 15025-15034.</t>
  </si>
  <si>
    <r>
      <t>Ellingsen, L. A. W., Majeau‐Bettez, G., Singh, B., Srivastava, A. K., Valøen, L. O., &amp; Strømman, A. H. (2014). Life cycle assessment of a lithium‐ion battery vehicle pack. </t>
    </r>
    <r>
      <rPr>
        <i/>
        <sz val="10"/>
        <color rgb="FF222222"/>
        <rFont val="Arial"/>
        <family val="2"/>
      </rPr>
      <t>Journal of industrial ecology</t>
    </r>
    <r>
      <rPr>
        <sz val="10"/>
        <color rgb="FF222222"/>
        <rFont val="Arial"/>
        <family val="2"/>
      </rPr>
      <t>, </t>
    </r>
    <r>
      <rPr>
        <i/>
        <sz val="10"/>
        <color rgb="FF222222"/>
        <rFont val="Arial"/>
        <family val="2"/>
      </rPr>
      <t>18</t>
    </r>
    <r>
      <rPr>
        <sz val="10"/>
        <color rgb="FF222222"/>
        <rFont val="Arial"/>
        <family val="2"/>
      </rPr>
      <t>(1), 113-124.</t>
    </r>
  </si>
  <si>
    <r>
      <t>Peters, J. F., Baumann, M., Binder, J. R., &amp; Weil, M. (2021). On the environmental competitiveness of sodium-ion batteries under a full life cycle perspective–a cell-chemistry specific modelling approach. </t>
    </r>
    <r>
      <rPr>
        <i/>
        <sz val="10"/>
        <color rgb="FF222222"/>
        <rFont val="Arial"/>
        <family val="2"/>
      </rPr>
      <t>Sustainable Energy &amp; Fuels</t>
    </r>
    <r>
      <rPr>
        <sz val="10"/>
        <color rgb="FF222222"/>
        <rFont val="Arial"/>
        <family val="2"/>
      </rPr>
      <t>, </t>
    </r>
    <r>
      <rPr>
        <i/>
        <sz val="10"/>
        <color rgb="FF222222"/>
        <rFont val="Arial"/>
        <family val="2"/>
      </rPr>
      <t>5</t>
    </r>
    <r>
      <rPr>
        <sz val="10"/>
        <color rgb="FF222222"/>
        <rFont val="Arial"/>
        <family val="2"/>
      </rPr>
      <t>(24), 6414-6429.</t>
    </r>
  </si>
  <si>
    <r>
      <t>Peters, J., Buchholz, D., Passerini, S., &amp; Weil, M. (2016). Life cycle assessment of sodium-ion batteries. </t>
    </r>
    <r>
      <rPr>
        <i/>
        <sz val="10"/>
        <color rgb="FF222222"/>
        <rFont val="Arial"/>
        <family val="2"/>
      </rPr>
      <t>Energy &amp; Environmental Science</t>
    </r>
    <r>
      <rPr>
        <sz val="10"/>
        <color rgb="FF222222"/>
        <rFont val="Arial"/>
        <family val="2"/>
      </rPr>
      <t>, </t>
    </r>
    <r>
      <rPr>
        <i/>
        <sz val="10"/>
        <color rgb="FF222222"/>
        <rFont val="Arial"/>
        <family val="2"/>
      </rPr>
      <t>9</t>
    </r>
    <r>
      <rPr>
        <sz val="10"/>
        <color rgb="FF222222"/>
        <rFont val="Arial"/>
        <family val="2"/>
      </rPr>
      <t>(5), 1744-1751.</t>
    </r>
  </si>
  <si>
    <t>Sub-assembly - Battery cell (MMO)</t>
  </si>
  <si>
    <t>Aluminium busbars</t>
  </si>
  <si>
    <t>Na-ion MMO battery cell</t>
  </si>
  <si>
    <t>Multilayer pouch</t>
  </si>
  <si>
    <t>Aluminium tab</t>
  </si>
  <si>
    <t>Battery separator {GLO}| market for battery separator | Cut-off, S</t>
  </si>
  <si>
    <t>Heat, central or small-scale, natural gas {GLO}| market group for heat, central or small-scale, natural gas | Cut-off, S</t>
  </si>
  <si>
    <t>Transport, freight, lorry 16-32 metric ton, EURO5 {GLO}| market for | Cut-off, S</t>
  </si>
  <si>
    <t>Transport, freight, train, fleet average {GLO}| market group for transport, freight, train, fleet average | Cut-off, S</t>
  </si>
  <si>
    <t>Chemical factory, organics {GLO}| market for chemical factory, organics | Cut-off, S</t>
  </si>
  <si>
    <t>Layered oxide cathode</t>
  </si>
  <si>
    <t>Hard carbon anode</t>
  </si>
  <si>
    <t>kWh (cap)</t>
  </si>
  <si>
    <t>Hard carbon</t>
  </si>
  <si>
    <t>Sheet rolling, aluminium {GLO}| market for sheet rolling, aluminium | Cut-off, S</t>
  </si>
  <si>
    <t>Carboxymethyl cellulose, powder {GLO}| market for carboxymethyl cellulose, powder | Cut-off, S</t>
  </si>
  <si>
    <t>Styrene- butadiene rubber (SBR)</t>
  </si>
  <si>
    <t>Butadiene, crude {GLO}| market for butadiene, crude | Cut-off, S</t>
  </si>
  <si>
    <t>Styrene {GLO}| market for styrene | Cut-off, S</t>
  </si>
  <si>
    <t>Soap {GLO}| market for soap | Cut-off, S</t>
  </si>
  <si>
    <t>Cyclohexane {GLO}| market for cyclohexane | Cut-off, S</t>
  </si>
  <si>
    <t>Sodium persulfate {GLO}| market for sodium persulfate | Cut-off, S</t>
  </si>
  <si>
    <t>Sub-assembly - Styrene- butadiene rubber (SBR)</t>
  </si>
  <si>
    <t>Sub-assembly - Hard carbon</t>
  </si>
  <si>
    <t>Water, cooling, unspecified natural origin/m3</t>
  </si>
  <si>
    <t>Heat, waste</t>
  </si>
  <si>
    <t>Wastewater, unpolluted {RoW}| treatment of wastewater, unpolluted, wastewater treatment | Cut-off, S</t>
  </si>
  <si>
    <t>Sub-assembly - Hard carbon anode</t>
  </si>
  <si>
    <t>Hard carbon andoe</t>
  </si>
  <si>
    <t>Municipal solid waste {GLO}| treatment of municipal solid waste, open burning | Cut-off, S</t>
  </si>
  <si>
    <t>Wastewater, average {GLO}| market for | Cut-off, S</t>
  </si>
  <si>
    <t>Water</t>
  </si>
  <si>
    <t>Petroleum coke {GLO}| market for petroleum coke | Cut-off, S</t>
  </si>
  <si>
    <t>Nitrogen, liquid {RoW}| market for nitrogen, liquid | Cut-off, S</t>
  </si>
  <si>
    <t>Polyethylene, low density, granulate {GLO}| market for polyethylene, low density, granulate | Cut-off, S</t>
  </si>
  <si>
    <t>Sub-assembly - Layered oxide cathode</t>
  </si>
  <si>
    <t>Na-MMO active material</t>
  </si>
  <si>
    <t>Manganese(III) oxide {GLO}| market for manganese(III) oxide | Cut-off, S</t>
  </si>
  <si>
    <t>Magnesium oxide {GLO}| market for magnesium oxide | Cut-off, S</t>
  </si>
  <si>
    <t>Soda ash, light {GLO}| market for soda ash, light | Cut-off, S</t>
  </si>
  <si>
    <t>Oxygen, liquid {RoW}| market for oxygen, liquid | Cut-off, S</t>
  </si>
  <si>
    <t>Sub-assembly - Na-MMO active material</t>
  </si>
  <si>
    <t>Water, to air (high population density)</t>
  </si>
  <si>
    <t>Sub-assembly - Electrolyte</t>
  </si>
  <si>
    <t>Sub-assembly - Multilayer pouch</t>
  </si>
  <si>
    <t>Dimethyl carbonate</t>
  </si>
  <si>
    <t>Sodium hexafluorophosphate</t>
  </si>
  <si>
    <t>Sodium fluoride {GLO}| market for sodium fluoride | Cut-off, S</t>
  </si>
  <si>
    <t>Phosphorus pentachloride {GLO}| market for phosphorus pentachloride | Cut-off, S</t>
  </si>
  <si>
    <t>Hydrogen fluoride {GLO}| market for | Cut-off, S</t>
  </si>
  <si>
    <t>Lime, hydrated, packed {GLO}| market for | Cut-off, S</t>
  </si>
  <si>
    <t>Sub-assembly - Sodium hexafluorophosphate</t>
  </si>
  <si>
    <t>Phosphorus trichloride</t>
  </si>
  <si>
    <t>Limestone residue {RoW}| treatment of limestone residue, inert material landfill | Cut-off, S</t>
  </si>
  <si>
    <t>Wastewater, average {RoW}| treatment of wastewater, average, wastewater treatment | Cut-off, S</t>
  </si>
  <si>
    <t>Methanol {RoW}| market for methanol | Cut-off, S</t>
  </si>
  <si>
    <t>Sub-assembly - Dimethyl carbonate</t>
  </si>
  <si>
    <t>Polyethylene terephthalate, granulate, amorphous {GLO}| market for polyethylene terephthalate, granulate, amorphous | Cut-off, U</t>
  </si>
  <si>
    <t>Nylon 6 {GLO}| market for nylon 6 | Cut-off, S</t>
  </si>
  <si>
    <t>Aluminium casting facility {GLO}| market for aluminium casting facility | Cut-off, S</t>
  </si>
  <si>
    <t>Transport, freight, lorry &gt;32 metric ton, EURO3 {GLO}| market for | Cut-off, S</t>
  </si>
  <si>
    <t>Battery cell (MMO)</t>
  </si>
  <si>
    <t>Lithium-ion batteries only use bimetallic busbars because Lithium can react with the aluminium from the current collector. Since this is not an issue with Na-ion, the copper current collector is usually replaced with an aluminium current collector. This also eliminates the need for bimetallic busbars, instead allowing for a mono-metallic aluminium busbar. To reflect this in the inventory from Singhal et al (2025), the copper components are replaced by aluminium (0.48kg of Aluminium for every 1kg of Copper because of different conductivities and densities).</t>
  </si>
  <si>
    <t>We consider whether Sodium-ion battery cells are heavier and larger, because the energy-specific structural components (trays and housing) would have to be adjusted by the weight factor. However, we found this to be negligible with a ratio of Na-ion cell / weight of Li-ion cell = 1.04.</t>
  </si>
  <si>
    <t>Sub-assembly - Aluminium tab</t>
  </si>
  <si>
    <t>Porzio &amp; Scown (2021) report surprisingly high manufacturing energy requirements for all Lithium-ion battery types. Kallitsis et al (2024) appears more in line with other studies so that their number (excluding electrode active material) of 40 MWh per MWh of battery cell capacity is adopted here.</t>
  </si>
  <si>
    <t>Similarly to Lithium-ion batteries, manufacturing energy serves as a major source of uncertainty. For Sodium-ion batteries, though, it seems that Peters et al (2021) underestimate the energy. Both Peters et al (2021) and Ihlbrock et al (2025) find similar manufacturing energy impacts between Sodium-ion and Lithium-ion. As such, the 40 MWh per MWh of battery cell capacity from Kallitsis et al (2024) is also adopted here. Note that this meant that all energy requirements in any sub-assemblies have been excluded from the inventory. Additionally, the manufacturing energy for Sodium-ion batteries was reduced by the energy that is already embodied in the process "Battery separator {GLO}| market for battery separator | Cut-off, S".</t>
  </si>
  <si>
    <t>Ihlbrock et al (2025) refers to the following paper: Ihlbrock, L., Sehnal, A., Gutsch, M., &amp; Lux, S. (2025). Future energy demand for automotive and stationary lithium-and sodium-ion battery production towards a European circular economy. Energy &amp; Environmental Science, 18(19), 8724-8743.</t>
  </si>
  <si>
    <t>Inverter, 500kW {GLO}| market for inverter, 500kW | Cut-off, S *</t>
  </si>
  <si>
    <t>* The inverter inventory has been edited to reflect the cradle-to-gate scope of this inventory (i.e. end-of-life processes have been removed)</t>
  </si>
  <si>
    <t>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</si>
</sst>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Aptos Narrow"/>
      <family val="2"/>
      <scheme val="minor"/>
    </font>
    <font>
      <sz val="10"/>
      <color rgb="FF222222"/>
      <name val="Arial"/>
      <family val="2"/>
    </font>
    <font>
      <i/>
      <sz val="10"/>
      <color rgb="FF222222"/>
      <name val="Arial"/>
      <family val="2"/>
    </font>
    <font>
      <u/>
      <sz val="11"/>
      <color theme="1"/>
      <name val="Aptos Narrow"/>
      <family val="2"/>
      <scheme val="minor"/>
    </font>
    <font>
      <i/>
      <sz val="11"/>
      <color theme="1"/>
      <name val="Aptos Narrow"/>
      <family val="2"/>
      <scheme val="minor"/>
    </font>
    <font>
      <b/>
      <sz val="11"/>
      <color theme="1"/>
      <name val="Aptos Narrow"/>
      <family val="2"/>
      <scheme val="minor"/>
    </font>
    <font>
      <sz val="11"/>
      <color rgb="FF000000"/>
      <name val="Aptos Narrow"/>
      <family val="2"/>
      <scheme val="minor"/>
    </font>
    <font>
      <u/>
      <sz val="11"/>
      <color rgb="FF000000"/>
      <name val="Aptos Narrow"/>
      <family val="2"/>
      <scheme val="minor"/>
    </font>
    <font>
      <b/>
      <sz val="11"/>
      <color rgb="FF000000"/>
      <name val="Aptos Narrow"/>
      <family val="2"/>
      <scheme val="minor"/>
    </font>
    <font>
      <sz val="8"/>
      <name val="Arial"/>
      <family val="2"/>
    </font>
    <font>
      <sz val="12"/>
      <color theme="1"/>
      <name val="Aptos Narrow"/>
      <family val="2"/>
      <scheme val="minor"/>
    </font>
    <font>
      <sz val="12"/>
      <color theme="1"/>
      <name val="Aptos Narrow"/>
      <family val="2"/>
      <charset val="129"/>
      <scheme val="minor"/>
    </font>
  </fonts>
  <fills count="6">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8" tint="0.79998168889431442"/>
        <bgColor indexed="64"/>
      </patternFill>
    </fill>
  </fills>
  <borders count="15">
    <border>
      <left/>
      <right/>
      <top/>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xf numFmtId="0" fontId="9" fillId="0" borderId="0"/>
    <xf numFmtId="0" fontId="10" fillId="0" borderId="0"/>
    <xf numFmtId="0" fontId="11" fillId="0" borderId="0"/>
  </cellStyleXfs>
  <cellXfs count="103">
    <xf numFmtId="0" fontId="0" fillId="0" borderId="0" xfId="0"/>
    <xf numFmtId="0" fontId="1" fillId="0" borderId="0" xfId="0" applyFont="1"/>
    <xf numFmtId="0" fontId="0" fillId="0" borderId="0" xfId="0" applyAlignment="1">
      <alignment horizontal="left"/>
    </xf>
    <xf numFmtId="0" fontId="0" fillId="0" borderId="6" xfId="0" applyBorder="1" applyAlignment="1">
      <alignment horizontal="left"/>
    </xf>
    <xf numFmtId="0" fontId="0" fillId="0" borderId="7"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12" xfId="0" applyBorder="1"/>
    <xf numFmtId="11" fontId="0" fillId="0" borderId="0" xfId="0" applyNumberFormat="1"/>
    <xf numFmtId="0" fontId="0" fillId="0" borderId="14" xfId="0" applyBorder="1"/>
    <xf numFmtId="0" fontId="0" fillId="0" borderId="7" xfId="0" applyBorder="1" applyAlignment="1">
      <alignment horizontal="left"/>
    </xf>
    <xf numFmtId="0" fontId="3" fillId="0" borderId="2" xfId="0" applyFont="1" applyBorder="1"/>
    <xf numFmtId="0" fontId="0" fillId="0" borderId="0" xfId="0" applyAlignment="1">
      <alignment horizontal="center"/>
    </xf>
    <xf numFmtId="0" fontId="3" fillId="0" borderId="0" xfId="0" applyFont="1"/>
    <xf numFmtId="0" fontId="0" fillId="0" borderId="0" xfId="0" applyAlignment="1">
      <alignment horizontal="right"/>
    </xf>
    <xf numFmtId="0" fontId="0" fillId="0" borderId="11" xfId="0" applyBorder="1" applyAlignment="1">
      <alignment horizontal="left"/>
    </xf>
    <xf numFmtId="0" fontId="0" fillId="0" borderId="2" xfId="0" applyBorder="1" applyAlignment="1">
      <alignment horizontal="left"/>
    </xf>
    <xf numFmtId="0" fontId="6" fillId="0" borderId="9" xfId="0" applyFont="1" applyBorder="1" applyAlignment="1">
      <alignment horizontal="center" vertical="center"/>
    </xf>
    <xf numFmtId="0" fontId="5" fillId="0" borderId="8" xfId="0" applyFont="1" applyBorder="1"/>
    <xf numFmtId="0" fontId="5" fillId="0" borderId="9" xfId="0" applyFont="1" applyBorder="1"/>
    <xf numFmtId="0" fontId="5" fillId="0" borderId="10" xfId="0" applyFont="1" applyBorder="1"/>
    <xf numFmtId="0" fontId="5" fillId="0" borderId="6" xfId="0" applyFont="1" applyBorder="1"/>
    <xf numFmtId="0" fontId="5" fillId="0" borderId="0" xfId="0" applyFont="1"/>
    <xf numFmtId="0" fontId="5" fillId="0" borderId="7" xfId="0" applyFont="1" applyBorder="1"/>
    <xf numFmtId="0" fontId="6" fillId="0" borderId="6" xfId="0" applyFont="1" applyBorder="1" applyAlignment="1">
      <alignment vertical="center"/>
    </xf>
    <xf numFmtId="11" fontId="6" fillId="0" borderId="0" xfId="0" applyNumberFormat="1" applyFont="1" applyAlignment="1">
      <alignment horizontal="center" vertical="center"/>
    </xf>
    <xf numFmtId="0" fontId="6" fillId="0" borderId="7" xfId="0" applyFont="1" applyBorder="1" applyAlignment="1">
      <alignment horizontal="center" vertical="center"/>
    </xf>
    <xf numFmtId="0" fontId="6" fillId="0" borderId="0" xfId="0" applyFont="1" applyAlignment="1">
      <alignment horizontal="center" vertical="center"/>
    </xf>
    <xf numFmtId="0" fontId="8" fillId="0" borderId="6" xfId="0" applyFont="1" applyBorder="1" applyAlignment="1">
      <alignment vertical="center"/>
    </xf>
    <xf numFmtId="0" fontId="8" fillId="0" borderId="0" xfId="0" applyFont="1" applyAlignment="1">
      <alignment horizontal="center" vertical="center"/>
    </xf>
    <xf numFmtId="0" fontId="8" fillId="0" borderId="7" xfId="0" applyFont="1" applyBorder="1" applyAlignment="1">
      <alignment horizontal="center" vertical="center"/>
    </xf>
    <xf numFmtId="0" fontId="6" fillId="0" borderId="8" xfId="0" applyFont="1" applyBorder="1" applyAlignment="1">
      <alignment vertical="center"/>
    </xf>
    <xf numFmtId="0" fontId="6" fillId="0" borderId="10" xfId="0" applyFont="1" applyBorder="1" applyAlignment="1">
      <alignment horizontal="center" vertical="center"/>
    </xf>
    <xf numFmtId="0" fontId="0" fillId="5" borderId="0" xfId="0" applyFill="1"/>
    <xf numFmtId="0" fontId="0" fillId="0" borderId="1" xfId="0" applyBorder="1" applyAlignment="1">
      <alignment horizontal="center"/>
    </xf>
    <xf numFmtId="0" fontId="6" fillId="0" borderId="7" xfId="0" applyFont="1" applyBorder="1"/>
    <xf numFmtId="0" fontId="3" fillId="0" borderId="6" xfId="0" applyFont="1" applyBorder="1" applyAlignment="1">
      <alignment horizontal="center"/>
    </xf>
    <xf numFmtId="0" fontId="1" fillId="0" borderId="7" xfId="0" applyFont="1" applyBorder="1"/>
    <xf numFmtId="0" fontId="6"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7" fillId="0" borderId="7" xfId="0" applyFont="1" applyBorder="1" applyAlignment="1">
      <alignment horizontal="center" vertical="center"/>
    </xf>
    <xf numFmtId="0" fontId="0" fillId="5" borderId="6" xfId="0" applyFill="1" applyBorder="1"/>
    <xf numFmtId="11" fontId="0" fillId="0" borderId="9" xfId="0" applyNumberFormat="1" applyBorder="1"/>
    <xf numFmtId="0" fontId="3" fillId="0" borderId="7" xfId="0" applyFont="1" applyBorder="1" applyAlignment="1">
      <alignment horizontal="center"/>
    </xf>
    <xf numFmtId="0" fontId="8" fillId="0" borderId="0" xfId="0" applyFont="1" applyAlignment="1">
      <alignment vertical="center"/>
    </xf>
    <xf numFmtId="164" fontId="0" fillId="0" borderId="0" xfId="0" applyNumberFormat="1"/>
    <xf numFmtId="0" fontId="3" fillId="0" borderId="0" xfId="0" applyFont="1" applyAlignment="1">
      <alignment horizontal="center"/>
    </xf>
    <xf numFmtId="11" fontId="0" fillId="0" borderId="7" xfId="0" applyNumberFormat="1" applyBorder="1"/>
    <xf numFmtId="0" fontId="6" fillId="0" borderId="0" xfId="0" applyFont="1"/>
    <xf numFmtId="0" fontId="9" fillId="0" borderId="0" xfId="1"/>
    <xf numFmtId="0" fontId="6" fillId="0" borderId="9" xfId="0" applyFont="1" applyBorder="1"/>
    <xf numFmtId="0" fontId="6" fillId="0" borderId="10" xfId="0" applyFont="1" applyBorder="1"/>
    <xf numFmtId="0" fontId="6" fillId="5" borderId="0" xfId="0" applyFont="1" applyFill="1"/>
    <xf numFmtId="0" fontId="0" fillId="0" borderId="6" xfId="0" applyBorder="1" applyAlignment="1">
      <alignment horizontal="left"/>
    </xf>
    <xf numFmtId="0" fontId="0" fillId="0" borderId="8" xfId="0" applyBorder="1" applyAlignment="1">
      <alignment horizontal="left"/>
    </xf>
    <xf numFmtId="0" fontId="0" fillId="0" borderId="0" xfId="0" applyAlignment="1">
      <alignment horizontal="left"/>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3" fillId="0" borderId="6" xfId="0" applyFont="1" applyBorder="1" applyAlignment="1">
      <alignment horizontal="center"/>
    </xf>
    <xf numFmtId="0" fontId="3" fillId="0" borderId="0" xfId="0" applyFont="1" applyAlignment="1">
      <alignment horizontal="center"/>
    </xf>
    <xf numFmtId="0" fontId="3" fillId="0" borderId="7" xfId="0" applyFont="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0" borderId="13"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3" fillId="0" borderId="11" xfId="0" applyFont="1" applyBorder="1" applyAlignment="1">
      <alignment horizontal="center"/>
    </xf>
    <xf numFmtId="0" fontId="3" fillId="0" borderId="2" xfId="0" applyFont="1" applyBorder="1" applyAlignment="1">
      <alignment horizontal="center"/>
    </xf>
    <xf numFmtId="0" fontId="3" fillId="0" borderId="12" xfId="0"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12" xfId="0" applyBorder="1" applyAlignment="1">
      <alignment horizontal="center"/>
    </xf>
    <xf numFmtId="0" fontId="0" fillId="0" borderId="7" xfId="0" applyBorder="1" applyAlignment="1">
      <alignment horizontal="center"/>
    </xf>
    <xf numFmtId="0" fontId="0" fillId="0" borderId="13" xfId="0" applyBorder="1" applyAlignment="1">
      <alignment horizontal="left"/>
    </xf>
    <xf numFmtId="0" fontId="0" fillId="0" borderId="1" xfId="0" applyBorder="1" applyAlignment="1">
      <alignment horizontal="left"/>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0" borderId="8" xfId="0" applyBorder="1" applyAlignment="1">
      <alignment horizontal="center"/>
    </xf>
    <xf numFmtId="0" fontId="7" fillId="0" borderId="6" xfId="0" applyFont="1" applyBorder="1" applyAlignment="1">
      <alignment horizontal="center" vertical="center"/>
    </xf>
    <xf numFmtId="0" fontId="7" fillId="0" borderId="0" xfId="0" applyFont="1" applyAlignment="1">
      <alignment horizontal="center" vertical="center"/>
    </xf>
    <xf numFmtId="0" fontId="7" fillId="0" borderId="7" xfId="0" applyFont="1" applyBorder="1" applyAlignment="1">
      <alignment horizontal="center" vertical="center"/>
    </xf>
    <xf numFmtId="0" fontId="0" fillId="0" borderId="6" xfId="0" applyBorder="1" applyAlignment="1">
      <alignment horizontal="center" textRotation="90"/>
    </xf>
    <xf numFmtId="0" fontId="0" fillId="0" borderId="8" xfId="0" applyBorder="1" applyAlignment="1">
      <alignment horizontal="center" textRotation="90"/>
    </xf>
    <xf numFmtId="0" fontId="3" fillId="0" borderId="0" xfId="0" applyFont="1" applyBorder="1" applyAlignment="1">
      <alignment horizontal="center"/>
    </xf>
    <xf numFmtId="0" fontId="0" fillId="0" borderId="0" xfId="0" applyBorder="1"/>
    <xf numFmtId="11" fontId="0" fillId="0" borderId="0" xfId="0" applyNumberFormat="1" applyBorder="1"/>
    <xf numFmtId="0" fontId="6" fillId="0" borderId="0" xfId="0" applyFont="1" applyBorder="1" applyAlignment="1">
      <alignment horizontal="center" vertical="center"/>
    </xf>
    <xf numFmtId="0" fontId="3" fillId="0" borderId="0" xfId="0" applyFont="1" applyBorder="1" applyAlignment="1">
      <alignment horizontal="center"/>
    </xf>
    <xf numFmtId="0" fontId="5" fillId="0" borderId="0" xfId="0" applyFont="1" applyBorder="1"/>
  </cellXfs>
  <cellStyles count="4">
    <cellStyle name="Normal" xfId="0" builtinId="0"/>
    <cellStyle name="Normal 2" xfId="1" xr:uid="{BD40D60E-08A1-4D50-807E-1AF9DCF50BF3}"/>
    <cellStyle name="Standard 2" xfId="2" xr:uid="{D4C1ABBE-488B-441E-9312-51E983AB7163}"/>
    <cellStyle name="Standard 3" xfId="3" xr:uid="{06B0497F-9BBE-47BF-A4F2-A1DD3D4CE5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2F5B0-60F4-4597-A97A-5117CEBAE5B3}">
  <dimension ref="B2:J98"/>
  <sheetViews>
    <sheetView workbookViewId="0">
      <selection activeCell="S6" sqref="S6:S8"/>
    </sheetView>
  </sheetViews>
  <sheetFormatPr defaultRowHeight="15" x14ac:dyDescent="0.25"/>
  <cols>
    <col min="2" max="2" width="16" customWidth="1"/>
    <col min="3" max="3" width="58.28515625" customWidth="1"/>
    <col min="4" max="4" width="10" bestFit="1" customWidth="1"/>
    <col min="5" max="5" width="10.28515625" customWidth="1"/>
    <col min="7" max="7" width="11.42578125" customWidth="1"/>
    <col min="9" max="9" width="12.28515625" customWidth="1"/>
    <col min="10" max="10" width="37.5703125" customWidth="1"/>
  </cols>
  <sheetData>
    <row r="2" spans="2:10" x14ac:dyDescent="0.25">
      <c r="B2" t="s">
        <v>108</v>
      </c>
      <c r="C2" s="1" t="s">
        <v>3</v>
      </c>
    </row>
    <row r="3" spans="2:10" x14ac:dyDescent="0.25">
      <c r="C3" s="1" t="s">
        <v>4</v>
      </c>
    </row>
    <row r="5" spans="2:10" ht="15.75" thickBot="1" x14ac:dyDescent="0.3"/>
    <row r="6" spans="2:10" x14ac:dyDescent="0.25">
      <c r="B6" s="70" t="s">
        <v>0</v>
      </c>
      <c r="C6" s="71"/>
      <c r="D6" s="71"/>
      <c r="E6" s="72"/>
      <c r="G6" s="70" t="s">
        <v>15</v>
      </c>
      <c r="H6" s="71"/>
      <c r="I6" s="71"/>
      <c r="J6" s="72"/>
    </row>
    <row r="7" spans="2:10" x14ac:dyDescent="0.25">
      <c r="B7" s="61" t="s">
        <v>6</v>
      </c>
      <c r="C7" s="63"/>
      <c r="D7" s="63"/>
      <c r="E7" s="4" t="s">
        <v>34</v>
      </c>
      <c r="G7" s="61" t="s">
        <v>35</v>
      </c>
      <c r="H7" s="63"/>
      <c r="I7" s="63"/>
      <c r="J7" s="4">
        <v>118000</v>
      </c>
    </row>
    <row r="8" spans="2:10" x14ac:dyDescent="0.25">
      <c r="B8" s="61" t="s">
        <v>5</v>
      </c>
      <c r="C8" s="63"/>
      <c r="D8" s="63"/>
      <c r="E8" s="4" t="s">
        <v>8</v>
      </c>
      <c r="G8" s="61" t="s">
        <v>5</v>
      </c>
      <c r="H8" s="63"/>
      <c r="I8" s="63"/>
      <c r="J8" s="4" t="s">
        <v>8</v>
      </c>
    </row>
    <row r="9" spans="2:10" x14ac:dyDescent="0.25">
      <c r="B9" s="9"/>
      <c r="C9" s="10"/>
      <c r="D9" s="10"/>
      <c r="E9" s="11"/>
      <c r="G9" s="61" t="s">
        <v>70</v>
      </c>
      <c r="H9" s="63"/>
      <c r="I9" s="63"/>
      <c r="J9" s="4" t="s">
        <v>85</v>
      </c>
    </row>
    <row r="10" spans="2:10" x14ac:dyDescent="0.25">
      <c r="B10" s="67" t="s">
        <v>7</v>
      </c>
      <c r="C10" s="68"/>
      <c r="D10" s="68"/>
      <c r="E10" s="69"/>
      <c r="G10" s="61" t="s">
        <v>18</v>
      </c>
      <c r="H10" s="63"/>
      <c r="I10" s="63"/>
      <c r="J10" s="4" t="s">
        <v>20</v>
      </c>
    </row>
    <row r="11" spans="2:10" x14ac:dyDescent="0.25">
      <c r="B11" s="5" t="s">
        <v>9</v>
      </c>
      <c r="C11" t="s">
        <v>10</v>
      </c>
      <c r="D11" t="s">
        <v>11</v>
      </c>
      <c r="E11" s="4" t="s">
        <v>12</v>
      </c>
      <c r="G11" s="9" t="s">
        <v>16</v>
      </c>
      <c r="H11" s="10" t="s">
        <v>12</v>
      </c>
      <c r="I11" s="10" t="s">
        <v>17</v>
      </c>
      <c r="J11" s="11" t="s">
        <v>36</v>
      </c>
    </row>
    <row r="12" spans="2:10" x14ac:dyDescent="0.25">
      <c r="B12" s="61" t="s">
        <v>30</v>
      </c>
      <c r="C12" t="s">
        <v>80</v>
      </c>
      <c r="D12">
        <v>457688</v>
      </c>
      <c r="E12" s="4" t="s">
        <v>22</v>
      </c>
      <c r="G12" s="5" t="s">
        <v>38</v>
      </c>
      <c r="H12" t="s">
        <v>39</v>
      </c>
      <c r="I12">
        <v>23622230</v>
      </c>
      <c r="J12" s="4">
        <f>I12/$J$7</f>
        <v>200.18838983050847</v>
      </c>
    </row>
    <row r="13" spans="2:10" x14ac:dyDescent="0.25">
      <c r="B13" s="61"/>
      <c r="C13" t="s">
        <v>81</v>
      </c>
      <c r="D13">
        <v>411919</v>
      </c>
      <c r="E13" s="4" t="s">
        <v>22</v>
      </c>
      <c r="G13" s="5" t="s">
        <v>40</v>
      </c>
      <c r="H13" t="s">
        <v>41</v>
      </c>
      <c r="I13">
        <v>8.0876674000000008</v>
      </c>
      <c r="J13" s="4">
        <f t="shared" ref="J13:J29" si="0">I13/$J$7</f>
        <v>6.8539554237288146E-5</v>
      </c>
    </row>
    <row r="14" spans="2:10" x14ac:dyDescent="0.25">
      <c r="B14" s="61"/>
      <c r="C14" t="s">
        <v>78</v>
      </c>
      <c r="D14">
        <v>45769</v>
      </c>
      <c r="E14" s="4" t="s">
        <v>22</v>
      </c>
      <c r="G14" s="5" t="s">
        <v>42</v>
      </c>
      <c r="H14" t="s">
        <v>43</v>
      </c>
      <c r="I14">
        <v>1112910.8</v>
      </c>
      <c r="J14" s="4">
        <f t="shared" si="0"/>
        <v>9.4314474576271188</v>
      </c>
    </row>
    <row r="15" spans="2:10" x14ac:dyDescent="0.25">
      <c r="B15" s="3" t="s">
        <v>31</v>
      </c>
      <c r="C15" t="s">
        <v>79</v>
      </c>
      <c r="D15">
        <v>1016425</v>
      </c>
      <c r="E15" s="4" t="s">
        <v>22</v>
      </c>
      <c r="G15" s="5" t="s">
        <v>44</v>
      </c>
      <c r="H15" t="s">
        <v>45</v>
      </c>
      <c r="I15">
        <v>130832.28</v>
      </c>
      <c r="J15" s="4">
        <f t="shared" si="0"/>
        <v>1.1087481355932203</v>
      </c>
    </row>
    <row r="16" spans="2:10" x14ac:dyDescent="0.25">
      <c r="B16" s="3" t="s">
        <v>32</v>
      </c>
      <c r="C16" t="s">
        <v>73</v>
      </c>
      <c r="D16">
        <v>906240</v>
      </c>
      <c r="E16" s="4" t="s">
        <v>22</v>
      </c>
      <c r="G16" s="5" t="s">
        <v>46</v>
      </c>
      <c r="H16" t="s">
        <v>47</v>
      </c>
      <c r="I16">
        <v>75520.097999999998</v>
      </c>
      <c r="J16" s="4">
        <f t="shared" si="0"/>
        <v>0.64000083050847456</v>
      </c>
    </row>
    <row r="17" spans="2:10" x14ac:dyDescent="0.25">
      <c r="B17" s="61" t="s">
        <v>33</v>
      </c>
      <c r="C17" t="s">
        <v>82</v>
      </c>
      <c r="D17">
        <v>350217</v>
      </c>
      <c r="E17" s="4" t="s">
        <v>22</v>
      </c>
      <c r="G17" s="5" t="s">
        <v>48</v>
      </c>
      <c r="H17" t="s">
        <v>45</v>
      </c>
      <c r="I17">
        <v>134241.51</v>
      </c>
      <c r="J17" s="4">
        <f t="shared" si="0"/>
        <v>1.1376399152542374</v>
      </c>
    </row>
    <row r="18" spans="2:10" x14ac:dyDescent="0.25">
      <c r="B18" s="61"/>
      <c r="C18" t="s">
        <v>78</v>
      </c>
      <c r="D18">
        <v>150093</v>
      </c>
      <c r="E18" s="4" t="s">
        <v>22</v>
      </c>
      <c r="G18" s="5" t="s">
        <v>49</v>
      </c>
      <c r="H18" t="s">
        <v>50</v>
      </c>
      <c r="I18">
        <v>158294.95000000001</v>
      </c>
      <c r="J18" s="4">
        <f t="shared" si="0"/>
        <v>1.3414826271186442</v>
      </c>
    </row>
    <row r="19" spans="2:10" x14ac:dyDescent="0.25">
      <c r="B19" s="61" t="s">
        <v>29</v>
      </c>
      <c r="C19" t="s">
        <v>76</v>
      </c>
      <c r="D19">
        <v>33829011</v>
      </c>
      <c r="E19" s="4" t="s">
        <v>26</v>
      </c>
      <c r="G19" s="5" t="s">
        <v>51</v>
      </c>
      <c r="H19" t="s">
        <v>52</v>
      </c>
      <c r="I19">
        <v>22388.719000000001</v>
      </c>
      <c r="J19" s="4">
        <f t="shared" si="0"/>
        <v>0.18973490677966104</v>
      </c>
    </row>
    <row r="20" spans="2:10" x14ac:dyDescent="0.25">
      <c r="B20" s="61"/>
      <c r="C20" t="s">
        <v>75</v>
      </c>
      <c r="D20">
        <v>1942692</v>
      </c>
      <c r="E20" s="4" t="s">
        <v>25</v>
      </c>
      <c r="G20" s="5" t="s">
        <v>53</v>
      </c>
      <c r="H20" t="s">
        <v>54</v>
      </c>
      <c r="I20">
        <v>732.82258000000002</v>
      </c>
      <c r="J20" s="4">
        <f t="shared" si="0"/>
        <v>6.2103608474576273E-3</v>
      </c>
    </row>
    <row r="21" spans="2:10" ht="15.75" thickBot="1" x14ac:dyDescent="0.3">
      <c r="B21" s="62"/>
      <c r="C21" s="7" t="s">
        <v>73</v>
      </c>
      <c r="D21" s="7">
        <v>31705986</v>
      </c>
      <c r="E21" s="8" t="s">
        <v>22</v>
      </c>
      <c r="G21" s="5" t="s">
        <v>55</v>
      </c>
      <c r="H21" t="s">
        <v>56</v>
      </c>
      <c r="I21" s="12">
        <v>704780730</v>
      </c>
      <c r="J21" s="4">
        <f t="shared" si="0"/>
        <v>5972.7180508474576</v>
      </c>
    </row>
    <row r="22" spans="2:10" x14ac:dyDescent="0.25">
      <c r="G22" s="5" t="s">
        <v>57</v>
      </c>
      <c r="H22" t="s">
        <v>56</v>
      </c>
      <c r="I22">
        <v>13019004</v>
      </c>
      <c r="J22" s="4">
        <f t="shared" si="0"/>
        <v>110.33054237288135</v>
      </c>
    </row>
    <row r="23" spans="2:10" x14ac:dyDescent="0.25">
      <c r="B23" s="17"/>
      <c r="C23" s="17"/>
      <c r="D23" s="17"/>
      <c r="E23" s="17"/>
      <c r="G23" s="5" t="s">
        <v>58</v>
      </c>
      <c r="H23" t="s">
        <v>56</v>
      </c>
      <c r="I23">
        <v>16631035</v>
      </c>
      <c r="J23" s="4">
        <f t="shared" si="0"/>
        <v>140.94097457627117</v>
      </c>
    </row>
    <row r="24" spans="2:10" x14ac:dyDescent="0.25">
      <c r="G24" s="5" t="s">
        <v>59</v>
      </c>
      <c r="H24" t="s">
        <v>56</v>
      </c>
      <c r="I24">
        <v>37280330</v>
      </c>
      <c r="J24" s="4">
        <f t="shared" si="0"/>
        <v>315.935</v>
      </c>
    </row>
    <row r="25" spans="2:10" x14ac:dyDescent="0.25">
      <c r="G25" s="5" t="s">
        <v>60</v>
      </c>
      <c r="H25" t="s">
        <v>56</v>
      </c>
      <c r="I25" s="12">
        <v>206873140</v>
      </c>
      <c r="J25" s="4">
        <f t="shared" si="0"/>
        <v>1753.1622033898304</v>
      </c>
    </row>
    <row r="26" spans="2:10" x14ac:dyDescent="0.25">
      <c r="G26" s="5" t="s">
        <v>61</v>
      </c>
      <c r="H26" t="s">
        <v>62</v>
      </c>
      <c r="I26">
        <v>710380.91</v>
      </c>
      <c r="J26" s="4">
        <f t="shared" si="0"/>
        <v>6.0201772033898306</v>
      </c>
    </row>
    <row r="27" spans="2:10" x14ac:dyDescent="0.25">
      <c r="G27" s="5" t="s">
        <v>63</v>
      </c>
      <c r="H27" t="s">
        <v>64</v>
      </c>
      <c r="I27">
        <v>600857.23</v>
      </c>
      <c r="J27" s="4">
        <f t="shared" si="0"/>
        <v>5.0920104237288131</v>
      </c>
    </row>
    <row r="28" spans="2:10" x14ac:dyDescent="0.25">
      <c r="G28" s="5" t="s">
        <v>65</v>
      </c>
      <c r="H28" t="s">
        <v>66</v>
      </c>
      <c r="I28">
        <v>6017499.4000000004</v>
      </c>
      <c r="J28" s="4">
        <f t="shared" si="0"/>
        <v>50.99575762711865</v>
      </c>
    </row>
    <row r="29" spans="2:10" ht="15.75" thickBot="1" x14ac:dyDescent="0.3">
      <c r="G29" s="6" t="s">
        <v>67</v>
      </c>
      <c r="H29" s="7" t="s">
        <v>68</v>
      </c>
      <c r="I29" s="7">
        <v>139392.20000000001</v>
      </c>
      <c r="J29" s="8">
        <f t="shared" si="0"/>
        <v>1.1812898305084747</v>
      </c>
    </row>
    <row r="31" spans="2:10" ht="15.75" thickBot="1" x14ac:dyDescent="0.3"/>
    <row r="32" spans="2:10" x14ac:dyDescent="0.25">
      <c r="B32" s="64" t="s">
        <v>1</v>
      </c>
      <c r="C32" s="65"/>
      <c r="D32" s="65"/>
      <c r="E32" s="66"/>
      <c r="G32" s="64" t="s">
        <v>69</v>
      </c>
      <c r="H32" s="65"/>
      <c r="I32" s="65"/>
      <c r="J32" s="66"/>
    </row>
    <row r="33" spans="2:10" x14ac:dyDescent="0.25">
      <c r="B33" s="61" t="s">
        <v>13</v>
      </c>
      <c r="C33" s="63"/>
      <c r="D33" s="63"/>
      <c r="E33" s="4" t="s">
        <v>72</v>
      </c>
      <c r="G33" s="61" t="s">
        <v>37</v>
      </c>
      <c r="H33" s="63"/>
      <c r="I33" s="63"/>
      <c r="J33" s="4">
        <v>390100</v>
      </c>
    </row>
    <row r="34" spans="2:10" x14ac:dyDescent="0.25">
      <c r="B34" s="61" t="s">
        <v>14</v>
      </c>
      <c r="C34" s="63"/>
      <c r="D34" s="63"/>
      <c r="E34" s="4" t="s">
        <v>8</v>
      </c>
      <c r="G34" s="61" t="s">
        <v>14</v>
      </c>
      <c r="H34" s="63"/>
      <c r="I34" s="63"/>
      <c r="J34" s="4" t="s">
        <v>8</v>
      </c>
    </row>
    <row r="35" spans="2:10" x14ac:dyDescent="0.25">
      <c r="B35" s="9"/>
      <c r="C35" s="10"/>
      <c r="D35" s="10"/>
      <c r="E35" s="11"/>
      <c r="G35" s="61" t="s">
        <v>70</v>
      </c>
      <c r="H35" s="63"/>
      <c r="I35" s="63"/>
      <c r="J35" s="4" t="s">
        <v>85</v>
      </c>
    </row>
    <row r="36" spans="2:10" x14ac:dyDescent="0.25">
      <c r="B36" s="67" t="s">
        <v>7</v>
      </c>
      <c r="C36" s="68"/>
      <c r="D36" s="68"/>
      <c r="E36" s="69"/>
      <c r="G36" s="61" t="s">
        <v>18</v>
      </c>
      <c r="H36" s="63"/>
      <c r="I36" s="63"/>
      <c r="J36" s="4" t="s">
        <v>20</v>
      </c>
    </row>
    <row r="37" spans="2:10" x14ac:dyDescent="0.25">
      <c r="B37" s="5" t="s">
        <v>9</v>
      </c>
      <c r="C37" t="s">
        <v>10</v>
      </c>
      <c r="D37" t="s">
        <v>11</v>
      </c>
      <c r="E37" s="4" t="s">
        <v>12</v>
      </c>
      <c r="G37" s="9" t="s">
        <v>16</v>
      </c>
      <c r="H37" s="10" t="s">
        <v>12</v>
      </c>
      <c r="I37" s="10" t="s">
        <v>17</v>
      </c>
      <c r="J37" s="11" t="s">
        <v>19</v>
      </c>
    </row>
    <row r="38" spans="2:10" x14ac:dyDescent="0.25">
      <c r="B38" s="5" t="s">
        <v>21</v>
      </c>
      <c r="C38" t="s">
        <v>73</v>
      </c>
      <c r="D38">
        <v>77625000</v>
      </c>
      <c r="E38" s="4" t="s">
        <v>22</v>
      </c>
      <c r="G38" s="5" t="s">
        <v>38</v>
      </c>
      <c r="H38" t="s">
        <v>39</v>
      </c>
      <c r="I38">
        <v>42619412</v>
      </c>
      <c r="J38" s="4">
        <f>I38/$J$33</f>
        <v>109.25253012048192</v>
      </c>
    </row>
    <row r="39" spans="2:10" x14ac:dyDescent="0.25">
      <c r="B39" s="5" t="s">
        <v>23</v>
      </c>
      <c r="C39" t="s">
        <v>74</v>
      </c>
      <c r="D39">
        <v>753</v>
      </c>
      <c r="E39" s="4" t="s">
        <v>22</v>
      </c>
      <c r="G39" s="5" t="s">
        <v>40</v>
      </c>
      <c r="H39" t="s">
        <v>41</v>
      </c>
      <c r="I39">
        <v>13.610611</v>
      </c>
      <c r="J39" s="4">
        <f t="shared" ref="J39:J55" si="1">I39/$J$33</f>
        <v>3.4890056395795951E-5</v>
      </c>
    </row>
    <row r="40" spans="2:10" x14ac:dyDescent="0.25">
      <c r="B40" s="61" t="s">
        <v>24</v>
      </c>
      <c r="C40" t="s">
        <v>75</v>
      </c>
      <c r="D40">
        <v>2940504</v>
      </c>
      <c r="E40" s="4" t="s">
        <v>25</v>
      </c>
      <c r="G40" s="5" t="s">
        <v>42</v>
      </c>
      <c r="H40" t="s">
        <v>43</v>
      </c>
      <c r="I40">
        <v>2839634.4</v>
      </c>
      <c r="J40" s="4">
        <f t="shared" si="1"/>
        <v>7.279247372468598</v>
      </c>
    </row>
    <row r="41" spans="2:10" x14ac:dyDescent="0.25">
      <c r="B41" s="61"/>
      <c r="C41" t="s">
        <v>76</v>
      </c>
      <c r="D41">
        <v>111974400</v>
      </c>
      <c r="E41" s="4" t="s">
        <v>26</v>
      </c>
      <c r="G41" s="5" t="s">
        <v>44</v>
      </c>
      <c r="H41" t="s">
        <v>45</v>
      </c>
      <c r="I41">
        <v>215467.78</v>
      </c>
      <c r="J41" s="4">
        <f t="shared" si="1"/>
        <v>0.55233986157395543</v>
      </c>
    </row>
    <row r="42" spans="2:10" x14ac:dyDescent="0.25">
      <c r="B42" s="61"/>
      <c r="C42" t="s">
        <v>77</v>
      </c>
      <c r="D42">
        <v>103680</v>
      </c>
      <c r="E42" s="4" t="s">
        <v>27</v>
      </c>
      <c r="G42" s="5" t="s">
        <v>46</v>
      </c>
      <c r="H42" t="s">
        <v>47</v>
      </c>
      <c r="I42">
        <v>86524.057000000001</v>
      </c>
      <c r="J42" s="4">
        <f t="shared" si="1"/>
        <v>0.22179968469623174</v>
      </c>
    </row>
    <row r="43" spans="2:10" x14ac:dyDescent="0.25">
      <c r="B43" s="61" t="s">
        <v>28</v>
      </c>
      <c r="C43" t="s">
        <v>76</v>
      </c>
      <c r="D43">
        <v>4491951</v>
      </c>
      <c r="E43" s="4" t="s">
        <v>26</v>
      </c>
      <c r="G43" s="5" t="s">
        <v>48</v>
      </c>
      <c r="H43" t="s">
        <v>45</v>
      </c>
      <c r="I43">
        <v>220983.76</v>
      </c>
      <c r="J43" s="4">
        <f t="shared" si="1"/>
        <v>0.56647977441681618</v>
      </c>
    </row>
    <row r="44" spans="2:10" ht="15.75" thickBot="1" x14ac:dyDescent="0.3">
      <c r="B44" s="62"/>
      <c r="C44" s="7" t="s">
        <v>75</v>
      </c>
      <c r="D44" s="7">
        <v>466637</v>
      </c>
      <c r="E44" s="8" t="s">
        <v>25</v>
      </c>
      <c r="G44" s="5" t="s">
        <v>49</v>
      </c>
      <c r="H44" t="s">
        <v>50</v>
      </c>
      <c r="I44">
        <v>149610.85</v>
      </c>
      <c r="J44" s="4">
        <f t="shared" si="1"/>
        <v>0.38351922583952835</v>
      </c>
    </row>
    <row r="45" spans="2:10" x14ac:dyDescent="0.25">
      <c r="G45" s="5" t="s">
        <v>51</v>
      </c>
      <c r="H45" t="s">
        <v>52</v>
      </c>
      <c r="I45">
        <v>16242.944</v>
      </c>
      <c r="J45" s="4">
        <f t="shared" si="1"/>
        <v>4.1637897974878234E-2</v>
      </c>
    </row>
    <row r="46" spans="2:10" x14ac:dyDescent="0.25">
      <c r="B46" s="17"/>
      <c r="C46" s="17"/>
      <c r="D46" s="17"/>
      <c r="E46" s="17"/>
      <c r="G46" s="5" t="s">
        <v>53</v>
      </c>
      <c r="H46" t="s">
        <v>54</v>
      </c>
      <c r="I46">
        <v>880.89383999999995</v>
      </c>
      <c r="J46" s="4">
        <f t="shared" si="1"/>
        <v>2.258123147910792E-3</v>
      </c>
    </row>
    <row r="47" spans="2:10" x14ac:dyDescent="0.25">
      <c r="G47" s="5" t="s">
        <v>55</v>
      </c>
      <c r="H47" t="s">
        <v>56</v>
      </c>
      <c r="I47">
        <v>58102452</v>
      </c>
      <c r="J47" s="4">
        <f t="shared" si="1"/>
        <v>148.94245578056908</v>
      </c>
    </row>
    <row r="48" spans="2:10" x14ac:dyDescent="0.25">
      <c r="G48" s="5" t="s">
        <v>57</v>
      </c>
      <c r="H48" t="s">
        <v>56</v>
      </c>
      <c r="I48">
        <v>880309.04</v>
      </c>
      <c r="J48" s="4">
        <f t="shared" si="1"/>
        <v>2.2566240451166371</v>
      </c>
    </row>
    <row r="49" spans="2:10" x14ac:dyDescent="0.25">
      <c r="G49" s="5" t="s">
        <v>58</v>
      </c>
      <c r="H49" t="s">
        <v>56</v>
      </c>
      <c r="I49">
        <v>1207551.2</v>
      </c>
      <c r="J49" s="4">
        <f t="shared" si="1"/>
        <v>3.0954914124583439</v>
      </c>
    </row>
    <row r="50" spans="2:10" x14ac:dyDescent="0.25">
      <c r="G50" s="5" t="s">
        <v>59</v>
      </c>
      <c r="H50" t="s">
        <v>56</v>
      </c>
      <c r="I50">
        <v>5635961.0999999996</v>
      </c>
      <c r="J50" s="4">
        <f t="shared" si="1"/>
        <v>14.44747782619841</v>
      </c>
    </row>
    <row r="51" spans="2:10" x14ac:dyDescent="0.25">
      <c r="G51" s="5" t="s">
        <v>60</v>
      </c>
      <c r="H51" t="s">
        <v>56</v>
      </c>
      <c r="I51">
        <v>30813441</v>
      </c>
      <c r="J51" s="4">
        <f t="shared" si="1"/>
        <v>78.988569597539097</v>
      </c>
    </row>
    <row r="52" spans="2:10" x14ac:dyDescent="0.25">
      <c r="G52" s="5" t="s">
        <v>61</v>
      </c>
      <c r="H52" t="s">
        <v>62</v>
      </c>
      <c r="I52">
        <v>976325.61</v>
      </c>
      <c r="J52" s="4">
        <f t="shared" si="1"/>
        <v>2.5027572673673415</v>
      </c>
    </row>
    <row r="53" spans="2:10" x14ac:dyDescent="0.25">
      <c r="G53" s="5" t="s">
        <v>63</v>
      </c>
      <c r="H53" t="s">
        <v>64</v>
      </c>
      <c r="I53">
        <v>64220.226999999999</v>
      </c>
      <c r="J53" s="4">
        <f t="shared" si="1"/>
        <v>0.16462503716995641</v>
      </c>
    </row>
    <row r="54" spans="2:10" x14ac:dyDescent="0.25">
      <c r="G54" s="5" t="s">
        <v>65</v>
      </c>
      <c r="H54" t="s">
        <v>66</v>
      </c>
      <c r="I54">
        <v>10956645</v>
      </c>
      <c r="J54" s="4">
        <f t="shared" si="1"/>
        <v>28.086759805178158</v>
      </c>
    </row>
    <row r="55" spans="2:10" ht="15.75" thickBot="1" x14ac:dyDescent="0.3">
      <c r="G55" s="6" t="s">
        <v>67</v>
      </c>
      <c r="H55" s="7" t="s">
        <v>68</v>
      </c>
      <c r="I55" s="7">
        <v>202283.74</v>
      </c>
      <c r="J55" s="8">
        <f t="shared" si="1"/>
        <v>0.51854329659061782</v>
      </c>
    </row>
    <row r="58" spans="2:10" x14ac:dyDescent="0.25">
      <c r="B58" t="s">
        <v>83</v>
      </c>
      <c r="C58" t="s">
        <v>84</v>
      </c>
    </row>
    <row r="94" spans="10:10" x14ac:dyDescent="0.25">
      <c r="J94" s="12"/>
    </row>
    <row r="98" spans="10:10" x14ac:dyDescent="0.25">
      <c r="J98" s="12"/>
    </row>
  </sheetData>
  <mergeCells count="23">
    <mergeCell ref="G6:J6"/>
    <mergeCell ref="G7:I7"/>
    <mergeCell ref="G8:I8"/>
    <mergeCell ref="G9:I9"/>
    <mergeCell ref="G35:I35"/>
    <mergeCell ref="G32:J32"/>
    <mergeCell ref="G33:I33"/>
    <mergeCell ref="G34:I34"/>
    <mergeCell ref="B6:E6"/>
    <mergeCell ref="B33:D33"/>
    <mergeCell ref="B34:D34"/>
    <mergeCell ref="B36:E36"/>
    <mergeCell ref="B12:B14"/>
    <mergeCell ref="B17:B18"/>
    <mergeCell ref="B7:D7"/>
    <mergeCell ref="B8:D8"/>
    <mergeCell ref="B40:B42"/>
    <mergeCell ref="B43:B44"/>
    <mergeCell ref="B19:B21"/>
    <mergeCell ref="G10:I10"/>
    <mergeCell ref="B32:E32"/>
    <mergeCell ref="B10:E10"/>
    <mergeCell ref="G36:I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CEBE-E6CA-497F-80A6-FA9C5758E74B}">
  <dimension ref="B2:K97"/>
  <sheetViews>
    <sheetView topLeftCell="A18" zoomScale="85" zoomScaleNormal="85" workbookViewId="0">
      <selection activeCell="C55" sqref="C55"/>
    </sheetView>
  </sheetViews>
  <sheetFormatPr defaultRowHeight="15" x14ac:dyDescent="0.25"/>
  <cols>
    <col min="2" max="2" width="34.42578125" customWidth="1"/>
    <col min="3" max="3" width="77" customWidth="1"/>
    <col min="7" max="7" width="36.85546875" customWidth="1"/>
    <col min="8" max="8" width="12.42578125" customWidth="1"/>
    <col min="9" max="9" width="12.28515625" customWidth="1"/>
    <col min="10" max="10" width="37.5703125" customWidth="1"/>
  </cols>
  <sheetData>
    <row r="2" spans="2:10" x14ac:dyDescent="0.25">
      <c r="B2" t="s">
        <v>2</v>
      </c>
      <c r="C2" s="1" t="s">
        <v>123</v>
      </c>
    </row>
    <row r="3" spans="2:10" x14ac:dyDescent="0.25">
      <c r="B3" s="18" t="s">
        <v>124</v>
      </c>
      <c r="C3" s="1" t="s">
        <v>3</v>
      </c>
    </row>
    <row r="4" spans="2:10" x14ac:dyDescent="0.25">
      <c r="B4" s="18" t="s">
        <v>125</v>
      </c>
      <c r="C4" s="1" t="s">
        <v>126</v>
      </c>
    </row>
    <row r="5" spans="2:10" ht="15.75" thickBot="1" x14ac:dyDescent="0.3"/>
    <row r="6" spans="2:10" x14ac:dyDescent="0.25">
      <c r="B6" s="70" t="s">
        <v>0</v>
      </c>
      <c r="C6" s="71"/>
      <c r="D6" s="71"/>
      <c r="E6" s="72"/>
      <c r="G6" s="70" t="s">
        <v>15</v>
      </c>
      <c r="H6" s="71"/>
      <c r="I6" s="71"/>
      <c r="J6" s="72"/>
    </row>
    <row r="7" spans="2:10" x14ac:dyDescent="0.25">
      <c r="B7" s="61" t="s">
        <v>6</v>
      </c>
      <c r="C7" s="63"/>
      <c r="D7" s="63"/>
      <c r="E7" s="4" t="s">
        <v>147</v>
      </c>
      <c r="G7" s="61" t="s">
        <v>35</v>
      </c>
      <c r="H7" s="63"/>
      <c r="I7" s="63"/>
      <c r="J7" s="4">
        <v>10000</v>
      </c>
    </row>
    <row r="8" spans="2:10" x14ac:dyDescent="0.25">
      <c r="B8" s="61" t="s">
        <v>5</v>
      </c>
      <c r="C8" s="63"/>
      <c r="D8" s="63"/>
      <c r="E8" s="4" t="s">
        <v>8</v>
      </c>
      <c r="G8" s="61" t="s">
        <v>5</v>
      </c>
      <c r="H8" s="63"/>
      <c r="I8" s="63"/>
      <c r="J8" s="4" t="s">
        <v>8</v>
      </c>
    </row>
    <row r="9" spans="2:10" x14ac:dyDescent="0.25">
      <c r="B9" s="19"/>
      <c r="C9" s="20"/>
      <c r="D9" s="20"/>
      <c r="E9" s="11"/>
      <c r="G9" s="61" t="s">
        <v>70</v>
      </c>
      <c r="H9" s="63"/>
      <c r="I9" s="63"/>
      <c r="J9" s="4" t="s">
        <v>85</v>
      </c>
    </row>
    <row r="10" spans="2:10" x14ac:dyDescent="0.25">
      <c r="B10" s="67" t="s">
        <v>7</v>
      </c>
      <c r="C10" s="68"/>
      <c r="D10" s="68"/>
      <c r="E10" s="69"/>
      <c r="G10" s="61" t="s">
        <v>18</v>
      </c>
      <c r="H10" s="63"/>
      <c r="I10" s="63"/>
      <c r="J10" s="4" t="s">
        <v>20</v>
      </c>
    </row>
    <row r="11" spans="2:10" x14ac:dyDescent="0.25">
      <c r="B11" s="5" t="s">
        <v>9</v>
      </c>
      <c r="C11" t="s">
        <v>10</v>
      </c>
      <c r="D11" t="s">
        <v>11</v>
      </c>
      <c r="E11" s="4" t="s">
        <v>12</v>
      </c>
      <c r="G11" s="9" t="s">
        <v>16</v>
      </c>
      <c r="H11" s="10" t="s">
        <v>12</v>
      </c>
      <c r="I11" s="10" t="s">
        <v>17</v>
      </c>
      <c r="J11" s="11" t="s">
        <v>36</v>
      </c>
    </row>
    <row r="12" spans="2:10" x14ac:dyDescent="0.25">
      <c r="B12" s="61" t="s">
        <v>143</v>
      </c>
      <c r="C12" t="s">
        <v>138</v>
      </c>
      <c r="D12">
        <v>2880</v>
      </c>
      <c r="E12" s="4" t="s">
        <v>22</v>
      </c>
      <c r="G12" s="5" t="s">
        <v>38</v>
      </c>
      <c r="H12" t="s">
        <v>39</v>
      </c>
      <c r="I12">
        <v>828519.24</v>
      </c>
      <c r="J12" s="4">
        <f>I12/$J$7</f>
        <v>82.851923999999997</v>
      </c>
    </row>
    <row r="13" spans="2:10" x14ac:dyDescent="0.25">
      <c r="B13" s="61"/>
      <c r="C13" t="s">
        <v>79</v>
      </c>
      <c r="D13">
        <v>81.599999999999994</v>
      </c>
      <c r="E13" s="4" t="s">
        <v>22</v>
      </c>
      <c r="G13" s="5" t="s">
        <v>40</v>
      </c>
      <c r="H13" t="s">
        <v>41</v>
      </c>
      <c r="I13">
        <v>0.23972731999999999</v>
      </c>
      <c r="J13" s="4">
        <f t="shared" ref="J13:J29" si="0">I13/$J$7</f>
        <v>2.3972731999999999E-5</v>
      </c>
    </row>
    <row r="14" spans="2:10" x14ac:dyDescent="0.25">
      <c r="B14" s="61"/>
      <c r="C14" t="s">
        <v>81</v>
      </c>
      <c r="D14">
        <v>2100</v>
      </c>
      <c r="E14" s="4" t="s">
        <v>22</v>
      </c>
      <c r="G14" s="5" t="s">
        <v>42</v>
      </c>
      <c r="H14" t="s">
        <v>43</v>
      </c>
      <c r="I14">
        <v>49521.298000000003</v>
      </c>
      <c r="J14" s="4">
        <f t="shared" si="0"/>
        <v>4.9521298000000007</v>
      </c>
    </row>
    <row r="15" spans="2:10" x14ac:dyDescent="0.25">
      <c r="B15" s="61"/>
      <c r="C15" t="s">
        <v>82</v>
      </c>
      <c r="D15">
        <v>2040</v>
      </c>
      <c r="E15" s="4" t="s">
        <v>22</v>
      </c>
      <c r="G15" s="5" t="s">
        <v>44</v>
      </c>
      <c r="H15" t="s">
        <v>45</v>
      </c>
      <c r="I15">
        <v>2581.3271</v>
      </c>
      <c r="J15" s="4">
        <f t="shared" si="0"/>
        <v>0.25813270999999999</v>
      </c>
    </row>
    <row r="16" spans="2:10" x14ac:dyDescent="0.25">
      <c r="B16" s="61"/>
      <c r="C16" t="s">
        <v>78</v>
      </c>
      <c r="D16">
        <v>80.7</v>
      </c>
      <c r="E16" s="4" t="s">
        <v>22</v>
      </c>
      <c r="G16" s="5" t="s">
        <v>46</v>
      </c>
      <c r="H16" t="s">
        <v>47</v>
      </c>
      <c r="I16">
        <v>2899.6704</v>
      </c>
      <c r="J16" s="4">
        <f t="shared" si="0"/>
        <v>0.28996704000000001</v>
      </c>
    </row>
    <row r="17" spans="2:10" x14ac:dyDescent="0.25">
      <c r="B17" s="61"/>
      <c r="C17" t="s">
        <v>139</v>
      </c>
      <c r="D17">
        <v>324</v>
      </c>
      <c r="E17" s="4" t="s">
        <v>22</v>
      </c>
      <c r="G17" s="5" t="s">
        <v>48</v>
      </c>
      <c r="H17" t="s">
        <v>45</v>
      </c>
      <c r="I17">
        <v>2655.0151000000001</v>
      </c>
      <c r="J17" s="4">
        <f t="shared" si="0"/>
        <v>0.26550151</v>
      </c>
    </row>
    <row r="18" spans="2:10" x14ac:dyDescent="0.25">
      <c r="B18" s="61"/>
      <c r="C18" t="s">
        <v>135</v>
      </c>
      <c r="D18">
        <v>5060</v>
      </c>
      <c r="E18" s="4" t="s">
        <v>22</v>
      </c>
      <c r="G18" s="5" t="s">
        <v>49</v>
      </c>
      <c r="H18" t="s">
        <v>50</v>
      </c>
      <c r="I18">
        <v>7394.2080999999998</v>
      </c>
      <c r="J18" s="4">
        <f t="shared" si="0"/>
        <v>0.73942080999999993</v>
      </c>
    </row>
    <row r="19" spans="2:10" x14ac:dyDescent="0.25">
      <c r="B19" s="61"/>
      <c r="C19" t="s">
        <v>140</v>
      </c>
      <c r="D19">
        <v>80.7</v>
      </c>
      <c r="E19" s="4" t="s">
        <v>22</v>
      </c>
      <c r="G19" s="5" t="s">
        <v>51</v>
      </c>
      <c r="H19" t="s">
        <v>52</v>
      </c>
      <c r="I19">
        <v>1054.7843</v>
      </c>
      <c r="J19" s="4">
        <f t="shared" si="0"/>
        <v>0.10547843</v>
      </c>
    </row>
    <row r="20" spans="2:10" x14ac:dyDescent="0.25">
      <c r="B20" s="61"/>
      <c r="C20" t="s">
        <v>141</v>
      </c>
      <c r="D20">
        <v>50</v>
      </c>
      <c r="E20" s="4" t="s">
        <v>86</v>
      </c>
      <c r="G20" s="5" t="s">
        <v>53</v>
      </c>
      <c r="H20" t="s">
        <v>54</v>
      </c>
      <c r="I20">
        <v>33.246606999999997</v>
      </c>
      <c r="J20" s="4">
        <f t="shared" si="0"/>
        <v>3.3246606999999999E-3</v>
      </c>
    </row>
    <row r="21" spans="2:10" x14ac:dyDescent="0.25">
      <c r="B21" s="61"/>
      <c r="C21" t="s">
        <v>142</v>
      </c>
      <c r="D21">
        <v>61.57</v>
      </c>
      <c r="E21" s="4" t="s">
        <v>22</v>
      </c>
      <c r="G21" s="5" t="s">
        <v>55</v>
      </c>
      <c r="H21" t="s">
        <v>56</v>
      </c>
      <c r="I21">
        <v>16660252</v>
      </c>
      <c r="J21" s="4">
        <f t="shared" si="0"/>
        <v>1666.0252</v>
      </c>
    </row>
    <row r="22" spans="2:10" x14ac:dyDescent="0.25">
      <c r="B22" s="61"/>
      <c r="C22" t="s">
        <v>136</v>
      </c>
      <c r="D22">
        <v>6426.9480000000003</v>
      </c>
      <c r="E22" s="4" t="s">
        <v>22</v>
      </c>
      <c r="G22" s="5" t="s">
        <v>57</v>
      </c>
      <c r="H22" t="s">
        <v>56</v>
      </c>
      <c r="I22">
        <v>678287.13</v>
      </c>
      <c r="J22" s="4">
        <f t="shared" si="0"/>
        <v>67.828712999999993</v>
      </c>
    </row>
    <row r="23" spans="2:10" x14ac:dyDescent="0.25">
      <c r="B23" s="61" t="s">
        <v>137</v>
      </c>
      <c r="C23" t="s">
        <v>79</v>
      </c>
      <c r="D23">
        <v>213760</v>
      </c>
      <c r="E23" s="4" t="s">
        <v>22</v>
      </c>
      <c r="G23" s="5" t="s">
        <v>58</v>
      </c>
      <c r="H23" t="s">
        <v>56</v>
      </c>
      <c r="I23">
        <v>876748.42</v>
      </c>
      <c r="J23" s="4">
        <f t="shared" si="0"/>
        <v>87.674841999999998</v>
      </c>
    </row>
    <row r="24" spans="2:10" x14ac:dyDescent="0.25">
      <c r="B24" s="61"/>
      <c r="C24" t="s">
        <v>135</v>
      </c>
      <c r="D24">
        <v>213760</v>
      </c>
      <c r="E24" s="4" t="s">
        <v>22</v>
      </c>
      <c r="G24" s="5" t="s">
        <v>59</v>
      </c>
      <c r="H24" t="s">
        <v>56</v>
      </c>
      <c r="I24">
        <v>7084911.0999999996</v>
      </c>
      <c r="J24" s="4">
        <f t="shared" si="0"/>
        <v>708.49110999999994</v>
      </c>
    </row>
    <row r="25" spans="2:10" ht="15.75" thickBot="1" x14ac:dyDescent="0.3">
      <c r="B25" s="62"/>
      <c r="C25" s="7" t="s">
        <v>136</v>
      </c>
      <c r="D25" s="7">
        <v>193452</v>
      </c>
      <c r="E25" s="8" t="s">
        <v>22</v>
      </c>
      <c r="G25" s="5" t="s">
        <v>60</v>
      </c>
      <c r="H25" t="s">
        <v>56</v>
      </c>
      <c r="I25">
        <v>11033386</v>
      </c>
      <c r="J25" s="4">
        <f t="shared" si="0"/>
        <v>1103.3386</v>
      </c>
    </row>
    <row r="26" spans="2:10" x14ac:dyDescent="0.25">
      <c r="G26" s="5" t="s">
        <v>61</v>
      </c>
      <c r="H26" t="s">
        <v>62</v>
      </c>
      <c r="I26">
        <v>41002.023000000001</v>
      </c>
      <c r="J26" s="4">
        <f t="shared" si="0"/>
        <v>4.1002023000000003</v>
      </c>
    </row>
    <row r="27" spans="2:10" x14ac:dyDescent="0.25">
      <c r="G27" s="5" t="s">
        <v>63</v>
      </c>
      <c r="H27" t="s">
        <v>64</v>
      </c>
      <c r="I27">
        <v>48364.343999999997</v>
      </c>
      <c r="J27" s="4">
        <f t="shared" si="0"/>
        <v>4.8364343999999999</v>
      </c>
    </row>
    <row r="28" spans="2:10" x14ac:dyDescent="0.25">
      <c r="G28" s="5" t="s">
        <v>65</v>
      </c>
      <c r="H28" t="s">
        <v>66</v>
      </c>
      <c r="I28">
        <v>207419.53</v>
      </c>
      <c r="J28" s="4">
        <f t="shared" si="0"/>
        <v>20.741952999999999</v>
      </c>
    </row>
    <row r="29" spans="2:10" ht="15.75" thickBot="1" x14ac:dyDescent="0.3">
      <c r="G29" s="6" t="s">
        <v>67</v>
      </c>
      <c r="H29" s="7" t="s">
        <v>68</v>
      </c>
      <c r="I29" s="7">
        <v>9433.1118000000006</v>
      </c>
      <c r="J29" s="8">
        <f t="shared" si="0"/>
        <v>0.94331118000000003</v>
      </c>
    </row>
    <row r="31" spans="2:10" ht="15.75" thickBot="1" x14ac:dyDescent="0.3"/>
    <row r="32" spans="2:10" x14ac:dyDescent="0.25">
      <c r="B32" s="64" t="s">
        <v>1</v>
      </c>
      <c r="C32" s="65"/>
      <c r="D32" s="65"/>
      <c r="E32" s="66"/>
      <c r="G32" s="64" t="s">
        <v>69</v>
      </c>
      <c r="H32" s="65"/>
      <c r="I32" s="65"/>
      <c r="J32" s="66"/>
    </row>
    <row r="33" spans="2:10" x14ac:dyDescent="0.25">
      <c r="B33" s="61" t="s">
        <v>13</v>
      </c>
      <c r="C33" s="63"/>
      <c r="D33" s="63"/>
      <c r="E33" s="4" t="s">
        <v>146</v>
      </c>
      <c r="G33" s="61" t="s">
        <v>37</v>
      </c>
      <c r="H33" s="63"/>
      <c r="I33" s="63"/>
      <c r="J33" s="4">
        <v>450000</v>
      </c>
    </row>
    <row r="34" spans="2:10" x14ac:dyDescent="0.25">
      <c r="B34" s="61" t="s">
        <v>14</v>
      </c>
      <c r="C34" s="63"/>
      <c r="D34" s="63"/>
      <c r="E34" s="4" t="s">
        <v>145</v>
      </c>
      <c r="G34" s="61" t="s">
        <v>14</v>
      </c>
      <c r="H34" s="63"/>
      <c r="I34" s="63"/>
      <c r="J34" s="4">
        <v>600000</v>
      </c>
    </row>
    <row r="35" spans="2:10" x14ac:dyDescent="0.25">
      <c r="B35" s="19"/>
      <c r="C35" s="20"/>
      <c r="D35" s="20"/>
      <c r="E35" s="11"/>
      <c r="G35" s="61" t="s">
        <v>70</v>
      </c>
      <c r="H35" s="63"/>
      <c r="I35" s="63"/>
      <c r="J35" s="4" t="s">
        <v>85</v>
      </c>
    </row>
    <row r="36" spans="2:10" x14ac:dyDescent="0.25">
      <c r="B36" s="67" t="s">
        <v>7</v>
      </c>
      <c r="C36" s="68"/>
      <c r="D36" s="68"/>
      <c r="E36" s="69"/>
      <c r="G36" s="61" t="s">
        <v>18</v>
      </c>
      <c r="H36" s="63"/>
      <c r="I36" s="63"/>
      <c r="J36" s="4" t="s">
        <v>20</v>
      </c>
    </row>
    <row r="37" spans="2:10" x14ac:dyDescent="0.25">
      <c r="B37" s="5" t="s">
        <v>9</v>
      </c>
      <c r="C37" t="s">
        <v>10</v>
      </c>
      <c r="D37" t="s">
        <v>11</v>
      </c>
      <c r="E37" s="4" t="s">
        <v>12</v>
      </c>
      <c r="G37" s="9" t="s">
        <v>16</v>
      </c>
      <c r="H37" s="10" t="s">
        <v>12</v>
      </c>
      <c r="I37" s="10" t="s">
        <v>17</v>
      </c>
      <c r="J37" s="11" t="s">
        <v>19</v>
      </c>
    </row>
    <row r="38" spans="2:10" x14ac:dyDescent="0.25">
      <c r="B38" s="61" t="s">
        <v>127</v>
      </c>
      <c r="C38" t="s">
        <v>128</v>
      </c>
      <c r="D38">
        <v>444000</v>
      </c>
      <c r="E38" s="4" t="s">
        <v>22</v>
      </c>
      <c r="G38" s="5" t="s">
        <v>38</v>
      </c>
      <c r="H38" t="s">
        <v>39</v>
      </c>
      <c r="I38" s="12">
        <v>140122810</v>
      </c>
      <c r="J38" s="4">
        <f t="shared" ref="J38:J55" si="1">I38/$J$33</f>
        <v>311.3840222222222</v>
      </c>
    </row>
    <row r="39" spans="2:10" x14ac:dyDescent="0.25">
      <c r="B39" s="61"/>
      <c r="C39" t="s">
        <v>81</v>
      </c>
      <c r="D39">
        <v>75100</v>
      </c>
      <c r="E39" s="4" t="s">
        <v>22</v>
      </c>
      <c r="G39" s="5" t="s">
        <v>40</v>
      </c>
      <c r="H39" t="s">
        <v>41</v>
      </c>
      <c r="I39">
        <v>14.898859</v>
      </c>
      <c r="J39" s="4">
        <f t="shared" si="1"/>
        <v>3.3108575555555556E-5</v>
      </c>
    </row>
    <row r="40" spans="2:10" x14ac:dyDescent="0.25">
      <c r="B40" s="61"/>
      <c r="C40" t="s">
        <v>129</v>
      </c>
      <c r="D40">
        <v>965000</v>
      </c>
      <c r="E40" s="4" t="s">
        <v>68</v>
      </c>
      <c r="G40" s="5" t="s">
        <v>42</v>
      </c>
      <c r="H40" t="s">
        <v>43</v>
      </c>
      <c r="I40">
        <v>6601787.2999999998</v>
      </c>
      <c r="J40" s="4">
        <f t="shared" si="1"/>
        <v>14.670638444444444</v>
      </c>
    </row>
    <row r="41" spans="2:10" x14ac:dyDescent="0.25">
      <c r="B41" s="61"/>
      <c r="C41" t="s">
        <v>130</v>
      </c>
      <c r="D41">
        <v>5691635.5</v>
      </c>
      <c r="E41" s="4" t="s">
        <v>22</v>
      </c>
      <c r="G41" s="5" t="s">
        <v>44</v>
      </c>
      <c r="H41" t="s">
        <v>45</v>
      </c>
      <c r="I41">
        <v>303814.81</v>
      </c>
      <c r="J41" s="4">
        <f t="shared" si="1"/>
        <v>0.67514402222222225</v>
      </c>
    </row>
    <row r="42" spans="2:10" x14ac:dyDescent="0.25">
      <c r="B42" s="61"/>
      <c r="C42" t="s">
        <v>131</v>
      </c>
      <c r="D42">
        <v>7650000</v>
      </c>
      <c r="E42" s="4" t="s">
        <v>26</v>
      </c>
      <c r="G42" s="5" t="s">
        <v>46</v>
      </c>
      <c r="H42" t="s">
        <v>47</v>
      </c>
      <c r="I42">
        <v>119791.02</v>
      </c>
      <c r="J42" s="4">
        <f t="shared" si="1"/>
        <v>0.26620226666666669</v>
      </c>
    </row>
    <row r="43" spans="2:10" x14ac:dyDescent="0.25">
      <c r="B43" s="61" t="s">
        <v>134</v>
      </c>
      <c r="C43" t="s">
        <v>79</v>
      </c>
      <c r="D43">
        <v>5770000</v>
      </c>
      <c r="E43" s="4" t="s">
        <v>22</v>
      </c>
      <c r="G43" s="5" t="s">
        <v>48</v>
      </c>
      <c r="H43" t="s">
        <v>45</v>
      </c>
      <c r="I43">
        <v>313416.40000000002</v>
      </c>
      <c r="J43" s="4">
        <f t="shared" si="1"/>
        <v>0.69648088888888893</v>
      </c>
    </row>
    <row r="44" spans="2:10" x14ac:dyDescent="0.25">
      <c r="B44" s="61"/>
      <c r="C44" t="s">
        <v>132</v>
      </c>
      <c r="D44">
        <v>5770000</v>
      </c>
      <c r="E44" s="4" t="s">
        <v>22</v>
      </c>
      <c r="G44" s="5" t="s">
        <v>49</v>
      </c>
      <c r="H44" t="s">
        <v>50</v>
      </c>
      <c r="I44">
        <v>248765.09</v>
      </c>
      <c r="J44" s="4">
        <f t="shared" si="1"/>
        <v>0.55281131111111115</v>
      </c>
    </row>
    <row r="45" spans="2:10" x14ac:dyDescent="0.25">
      <c r="B45" s="61"/>
      <c r="C45" t="s">
        <v>133</v>
      </c>
      <c r="D45">
        <v>15000000</v>
      </c>
      <c r="E45" s="4" t="s">
        <v>22</v>
      </c>
      <c r="G45" s="5" t="s">
        <v>51</v>
      </c>
      <c r="H45" t="s">
        <v>52</v>
      </c>
      <c r="I45">
        <v>36634.409</v>
      </c>
      <c r="J45" s="4">
        <f t="shared" si="1"/>
        <v>8.1409797777777779E-2</v>
      </c>
    </row>
    <row r="46" spans="2:10" ht="15.75" thickBot="1" x14ac:dyDescent="0.3">
      <c r="B46" s="62"/>
      <c r="C46" s="7" t="s">
        <v>130</v>
      </c>
      <c r="D46" s="7">
        <v>5221850</v>
      </c>
      <c r="E46" s="8" t="s">
        <v>22</v>
      </c>
      <c r="G46" s="5" t="s">
        <v>53</v>
      </c>
      <c r="H46" t="s">
        <v>54</v>
      </c>
      <c r="I46">
        <v>2907.2262999999998</v>
      </c>
      <c r="J46" s="4">
        <f t="shared" si="1"/>
        <v>6.4605028888888886E-3</v>
      </c>
    </row>
    <row r="47" spans="2:10" x14ac:dyDescent="0.25">
      <c r="G47" s="5" t="s">
        <v>55</v>
      </c>
      <c r="H47" t="s">
        <v>56</v>
      </c>
      <c r="I47" s="12">
        <v>459948610</v>
      </c>
      <c r="J47" s="4">
        <f t="shared" si="1"/>
        <v>1022.1080222222222</v>
      </c>
    </row>
    <row r="48" spans="2:10" x14ac:dyDescent="0.25">
      <c r="G48" s="5" t="s">
        <v>57</v>
      </c>
      <c r="H48" t="s">
        <v>56</v>
      </c>
      <c r="I48">
        <v>10597030</v>
      </c>
      <c r="J48" s="4">
        <f t="shared" si="1"/>
        <v>23.548955555555555</v>
      </c>
    </row>
    <row r="49" spans="2:10" x14ac:dyDescent="0.25">
      <c r="G49" s="5" t="s">
        <v>58</v>
      </c>
      <c r="H49" t="s">
        <v>56</v>
      </c>
      <c r="I49">
        <v>14739609</v>
      </c>
      <c r="J49" s="4">
        <f t="shared" si="1"/>
        <v>32.754686666666665</v>
      </c>
    </row>
    <row r="50" spans="2:10" x14ac:dyDescent="0.25">
      <c r="G50" s="5" t="s">
        <v>59</v>
      </c>
      <c r="H50" t="s">
        <v>56</v>
      </c>
      <c r="I50" s="12">
        <v>341384930</v>
      </c>
      <c r="J50" s="4">
        <f t="shared" si="1"/>
        <v>758.63317777777775</v>
      </c>
    </row>
    <row r="51" spans="2:10" x14ac:dyDescent="0.25">
      <c r="B51" s="17"/>
      <c r="C51" s="17"/>
      <c r="D51" s="17"/>
      <c r="E51" s="17"/>
      <c r="G51" s="5" t="s">
        <v>60</v>
      </c>
      <c r="H51" t="s">
        <v>56</v>
      </c>
      <c r="I51" s="12">
        <v>179920370</v>
      </c>
      <c r="J51" s="4">
        <f t="shared" si="1"/>
        <v>399.82304444444446</v>
      </c>
    </row>
    <row r="52" spans="2:10" x14ac:dyDescent="0.25">
      <c r="G52" s="5" t="s">
        <v>61</v>
      </c>
      <c r="H52" t="s">
        <v>62</v>
      </c>
      <c r="I52">
        <v>5464049.0999999996</v>
      </c>
      <c r="J52" s="4">
        <f t="shared" si="1"/>
        <v>12.142331333333333</v>
      </c>
    </row>
    <row r="53" spans="2:10" x14ac:dyDescent="0.25">
      <c r="G53" s="5" t="s">
        <v>63</v>
      </c>
      <c r="H53" t="s">
        <v>64</v>
      </c>
      <c r="I53">
        <v>1387370.2</v>
      </c>
      <c r="J53" s="4">
        <f t="shared" si="1"/>
        <v>3.0830448888888888</v>
      </c>
    </row>
    <row r="54" spans="2:10" x14ac:dyDescent="0.25">
      <c r="G54" s="5" t="s">
        <v>65</v>
      </c>
      <c r="H54" t="s">
        <v>66</v>
      </c>
      <c r="I54">
        <v>17565158</v>
      </c>
      <c r="J54" s="4">
        <f t="shared" si="1"/>
        <v>39.033684444444447</v>
      </c>
    </row>
    <row r="55" spans="2:10" ht="15.75" thickBot="1" x14ac:dyDescent="0.3">
      <c r="G55" s="6" t="s">
        <v>67</v>
      </c>
      <c r="H55" s="7" t="s">
        <v>68</v>
      </c>
      <c r="I55" s="7">
        <v>3501228.4</v>
      </c>
      <c r="J55" s="8">
        <f t="shared" si="1"/>
        <v>7.7805075555555554</v>
      </c>
    </row>
    <row r="84" spans="11:11" x14ac:dyDescent="0.25">
      <c r="K84" s="12"/>
    </row>
    <row r="93" spans="11:11" x14ac:dyDescent="0.25">
      <c r="K93" s="12"/>
    </row>
    <row r="96" spans="11:11" x14ac:dyDescent="0.25">
      <c r="K96" s="12"/>
    </row>
    <row r="97" spans="11:11" x14ac:dyDescent="0.25">
      <c r="K97" s="12"/>
    </row>
  </sheetData>
  <mergeCells count="22">
    <mergeCell ref="G36:I36"/>
    <mergeCell ref="B6:E6"/>
    <mergeCell ref="G6:J6"/>
    <mergeCell ref="B7:D7"/>
    <mergeCell ref="G7:I7"/>
    <mergeCell ref="G9:I9"/>
    <mergeCell ref="B8:D8"/>
    <mergeCell ref="G8:I8"/>
    <mergeCell ref="G10:I10"/>
    <mergeCell ref="G32:J32"/>
    <mergeCell ref="G33:I33"/>
    <mergeCell ref="G34:I34"/>
    <mergeCell ref="G35:I35"/>
    <mergeCell ref="B38:B42"/>
    <mergeCell ref="B43:B46"/>
    <mergeCell ref="B23:B25"/>
    <mergeCell ref="B12:B22"/>
    <mergeCell ref="B10:E10"/>
    <mergeCell ref="B32:E32"/>
    <mergeCell ref="B33:D33"/>
    <mergeCell ref="B34:D34"/>
    <mergeCell ref="B36:E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51A63-5823-4160-AE10-26EAD4CCF297}">
  <dimension ref="B2:J72"/>
  <sheetViews>
    <sheetView zoomScale="85" zoomScaleNormal="85" workbookViewId="0">
      <selection activeCell="H66" sqref="H66"/>
    </sheetView>
  </sheetViews>
  <sheetFormatPr defaultRowHeight="15" x14ac:dyDescent="0.25"/>
  <cols>
    <col min="2" max="2" width="11.85546875" customWidth="1"/>
    <col min="3" max="3" width="49.5703125" customWidth="1"/>
    <col min="7" max="7" width="36.85546875" customWidth="1"/>
    <col min="8" max="8" width="12.42578125" customWidth="1"/>
    <col min="9" max="9" width="12.28515625" customWidth="1"/>
    <col min="10" max="10" width="37.5703125" customWidth="1"/>
  </cols>
  <sheetData>
    <row r="2" spans="2:10" x14ac:dyDescent="0.25">
      <c r="B2" t="s">
        <v>2</v>
      </c>
      <c r="D2" s="1" t="s">
        <v>432</v>
      </c>
    </row>
    <row r="4" spans="2:10" ht="15.75" thickBot="1" x14ac:dyDescent="0.3"/>
    <row r="5" spans="2:10" x14ac:dyDescent="0.25">
      <c r="B5" s="70" t="s">
        <v>0</v>
      </c>
      <c r="C5" s="71"/>
      <c r="D5" s="71"/>
      <c r="E5" s="72"/>
      <c r="G5" s="70" t="s">
        <v>15</v>
      </c>
      <c r="H5" s="71"/>
      <c r="I5" s="71"/>
      <c r="J5" s="72"/>
    </row>
    <row r="6" spans="2:10" x14ac:dyDescent="0.25">
      <c r="B6" s="61" t="s">
        <v>6</v>
      </c>
      <c r="C6" s="63"/>
      <c r="D6" s="63"/>
      <c r="E6" s="4" t="s">
        <v>458</v>
      </c>
      <c r="G6" s="61" t="s">
        <v>35</v>
      </c>
      <c r="H6" s="63"/>
      <c r="I6" s="63"/>
      <c r="J6" s="4">
        <v>20000</v>
      </c>
    </row>
    <row r="7" spans="2:10" x14ac:dyDescent="0.25">
      <c r="B7" s="61" t="s">
        <v>5</v>
      </c>
      <c r="C7" s="63"/>
      <c r="D7" s="63"/>
      <c r="E7" s="4" t="s">
        <v>8</v>
      </c>
      <c r="G7" s="61" t="s">
        <v>5</v>
      </c>
      <c r="H7" s="63"/>
      <c r="I7" s="63"/>
      <c r="J7" s="4" t="s">
        <v>8</v>
      </c>
    </row>
    <row r="8" spans="2:10" x14ac:dyDescent="0.25">
      <c r="B8" s="3"/>
      <c r="C8" s="2"/>
      <c r="D8" s="2"/>
      <c r="E8" s="4"/>
      <c r="G8" s="61" t="s">
        <v>70</v>
      </c>
      <c r="H8" s="63"/>
      <c r="I8" s="63"/>
      <c r="J8" s="4" t="s">
        <v>85</v>
      </c>
    </row>
    <row r="9" spans="2:10" x14ac:dyDescent="0.25">
      <c r="B9" s="79" t="s">
        <v>7</v>
      </c>
      <c r="C9" s="80"/>
      <c r="D9" s="80"/>
      <c r="E9" s="81"/>
      <c r="G9" s="61" t="s">
        <v>18</v>
      </c>
      <c r="H9" s="63"/>
      <c r="I9" s="63"/>
      <c r="J9" s="4" t="s">
        <v>20</v>
      </c>
    </row>
    <row r="10" spans="2:10" x14ac:dyDescent="0.25">
      <c r="B10" s="5" t="s">
        <v>9</v>
      </c>
      <c r="C10" t="s">
        <v>10</v>
      </c>
      <c r="D10" t="s">
        <v>11</v>
      </c>
      <c r="E10" s="4" t="s">
        <v>12</v>
      </c>
      <c r="G10" s="9" t="s">
        <v>144</v>
      </c>
      <c r="H10" s="10" t="s">
        <v>12</v>
      </c>
      <c r="I10" s="10" t="s">
        <v>17</v>
      </c>
      <c r="J10" s="11" t="s">
        <v>36</v>
      </c>
    </row>
    <row r="11" spans="2:10" x14ac:dyDescent="0.25">
      <c r="B11" s="75" t="s">
        <v>33</v>
      </c>
      <c r="C11" t="s">
        <v>82</v>
      </c>
      <c r="D11">
        <v>10.5</v>
      </c>
      <c r="E11" s="4" t="s">
        <v>451</v>
      </c>
      <c r="G11" s="5" t="s">
        <v>38</v>
      </c>
      <c r="H11" t="s">
        <v>39</v>
      </c>
      <c r="I11">
        <v>1700797.1</v>
      </c>
      <c r="J11" s="4">
        <f>I11/$J$6</f>
        <v>85.039855000000003</v>
      </c>
    </row>
    <row r="12" spans="2:10" x14ac:dyDescent="0.25">
      <c r="B12" s="75"/>
      <c r="C12" t="s">
        <v>78</v>
      </c>
      <c r="D12">
        <v>4.5</v>
      </c>
      <c r="E12" s="4" t="s">
        <v>451</v>
      </c>
      <c r="G12" s="5" t="s">
        <v>40</v>
      </c>
      <c r="H12" t="s">
        <v>41</v>
      </c>
      <c r="I12">
        <v>0.78031901999999997</v>
      </c>
      <c r="J12" s="4">
        <f t="shared" ref="J12:J28" si="0">I12/$J$6</f>
        <v>3.9015951E-5</v>
      </c>
    </row>
    <row r="13" spans="2:10" x14ac:dyDescent="0.25">
      <c r="B13" s="75"/>
      <c r="C13" t="s">
        <v>76</v>
      </c>
      <c r="D13">
        <v>19</v>
      </c>
      <c r="E13" s="4" t="s">
        <v>440</v>
      </c>
      <c r="G13" s="5" t="s">
        <v>42</v>
      </c>
      <c r="H13" t="s">
        <v>43</v>
      </c>
      <c r="I13">
        <v>41915.485999999997</v>
      </c>
      <c r="J13" s="4">
        <f t="shared" si="0"/>
        <v>2.0957743</v>
      </c>
    </row>
    <row r="14" spans="2:10" x14ac:dyDescent="0.25">
      <c r="B14" s="75" t="s">
        <v>433</v>
      </c>
      <c r="C14" t="s">
        <v>79</v>
      </c>
      <c r="D14">
        <v>163.80000000000001</v>
      </c>
      <c r="E14" s="4" t="s">
        <v>451</v>
      </c>
      <c r="G14" s="5" t="s">
        <v>44</v>
      </c>
      <c r="H14" t="s">
        <v>45</v>
      </c>
      <c r="I14">
        <v>6157.7737999999999</v>
      </c>
      <c r="J14" s="4">
        <f t="shared" si="0"/>
        <v>0.30788869000000002</v>
      </c>
    </row>
    <row r="15" spans="2:10" x14ac:dyDescent="0.25">
      <c r="B15" s="75"/>
      <c r="C15" t="s">
        <v>434</v>
      </c>
      <c r="D15">
        <v>49.14</v>
      </c>
      <c r="E15" s="4" t="s">
        <v>451</v>
      </c>
      <c r="G15" s="5" t="s">
        <v>46</v>
      </c>
      <c r="H15" t="s">
        <v>47</v>
      </c>
      <c r="I15">
        <v>8504.6273999999994</v>
      </c>
      <c r="J15" s="4">
        <f t="shared" si="0"/>
        <v>0.42523137</v>
      </c>
    </row>
    <row r="16" spans="2:10" x14ac:dyDescent="0.25">
      <c r="B16" s="75"/>
      <c r="C16" t="s">
        <v>78</v>
      </c>
      <c r="D16">
        <v>32.76</v>
      </c>
      <c r="E16" s="4" t="s">
        <v>451</v>
      </c>
      <c r="G16" s="5" t="s">
        <v>48</v>
      </c>
      <c r="H16" t="s">
        <v>45</v>
      </c>
      <c r="I16">
        <v>6287.8616000000002</v>
      </c>
      <c r="J16" s="4">
        <f t="shared" si="0"/>
        <v>0.31439307999999999</v>
      </c>
    </row>
    <row r="17" spans="2:10" x14ac:dyDescent="0.25">
      <c r="B17" s="75"/>
      <c r="C17" t="s">
        <v>435</v>
      </c>
      <c r="D17">
        <v>27.3</v>
      </c>
      <c r="E17" s="4" t="s">
        <v>451</v>
      </c>
      <c r="G17" s="5" t="s">
        <v>49</v>
      </c>
      <c r="H17" t="s">
        <v>50</v>
      </c>
      <c r="I17">
        <v>20989.920999999998</v>
      </c>
      <c r="J17" s="4">
        <f t="shared" si="0"/>
        <v>1.0494960499999999</v>
      </c>
    </row>
    <row r="18" spans="2:10" x14ac:dyDescent="0.25">
      <c r="B18" s="75"/>
      <c r="C18" t="s">
        <v>76</v>
      </c>
      <c r="D18">
        <v>25</v>
      </c>
      <c r="E18" s="4" t="s">
        <v>440</v>
      </c>
      <c r="G18" s="5" t="s">
        <v>51</v>
      </c>
      <c r="H18" t="s">
        <v>52</v>
      </c>
      <c r="I18">
        <v>3173.4504000000002</v>
      </c>
      <c r="J18" s="4">
        <f t="shared" si="0"/>
        <v>0.15867252000000001</v>
      </c>
    </row>
    <row r="19" spans="2:10" x14ac:dyDescent="0.25">
      <c r="B19" s="75"/>
      <c r="C19" t="s">
        <v>436</v>
      </c>
      <c r="D19">
        <v>22</v>
      </c>
      <c r="E19" s="4" t="s">
        <v>437</v>
      </c>
      <c r="G19" s="5" t="s">
        <v>53</v>
      </c>
      <c r="H19" t="s">
        <v>54</v>
      </c>
      <c r="I19">
        <v>140.33903000000001</v>
      </c>
      <c r="J19" s="4">
        <f t="shared" ref="J19:J24" si="1">I19/$J$6</f>
        <v>7.0169515000000002E-3</v>
      </c>
    </row>
    <row r="20" spans="2:10" x14ac:dyDescent="0.25">
      <c r="B20" s="75"/>
      <c r="C20" t="s">
        <v>438</v>
      </c>
      <c r="D20">
        <v>9</v>
      </c>
      <c r="E20" s="4" t="s">
        <v>437</v>
      </c>
      <c r="G20" s="5" t="s">
        <v>55</v>
      </c>
      <c r="H20" t="s">
        <v>56</v>
      </c>
      <c r="I20" s="12">
        <v>116471630</v>
      </c>
      <c r="J20" s="4">
        <f t="shared" si="1"/>
        <v>5823.5815000000002</v>
      </c>
    </row>
    <row r="21" spans="2:10" x14ac:dyDescent="0.25">
      <c r="B21" s="75"/>
      <c r="C21" t="s">
        <v>439</v>
      </c>
      <c r="D21">
        <v>0.54</v>
      </c>
      <c r="E21" s="4" t="s">
        <v>437</v>
      </c>
      <c r="G21" s="5" t="s">
        <v>57</v>
      </c>
      <c r="H21" t="s">
        <v>56</v>
      </c>
      <c r="I21">
        <v>2152102.2000000002</v>
      </c>
      <c r="J21" s="4">
        <f t="shared" si="1"/>
        <v>107.60511000000001</v>
      </c>
    </row>
    <row r="22" spans="2:10" ht="15.75" thickBot="1" x14ac:dyDescent="0.3">
      <c r="B22" s="6" t="s">
        <v>28</v>
      </c>
      <c r="C22" s="7" t="s">
        <v>75</v>
      </c>
      <c r="D22" s="7">
        <v>68.5</v>
      </c>
      <c r="E22" s="8" t="s">
        <v>437</v>
      </c>
      <c r="G22" s="5" t="s">
        <v>58</v>
      </c>
      <c r="H22" t="s">
        <v>56</v>
      </c>
      <c r="I22">
        <v>2731574.3</v>
      </c>
      <c r="J22" s="4">
        <f t="shared" si="1"/>
        <v>136.57871499999999</v>
      </c>
    </row>
    <row r="23" spans="2:10" x14ac:dyDescent="0.25">
      <c r="G23" s="5" t="s">
        <v>59</v>
      </c>
      <c r="H23" t="s">
        <v>56</v>
      </c>
      <c r="I23">
        <v>2878162.2</v>
      </c>
      <c r="J23" s="4">
        <f t="shared" si="1"/>
        <v>143.90811000000002</v>
      </c>
    </row>
    <row r="24" spans="2:10" x14ac:dyDescent="0.25">
      <c r="B24" s="17"/>
      <c r="C24" s="17"/>
      <c r="D24" s="17"/>
      <c r="E24" s="17"/>
      <c r="G24" s="5" t="s">
        <v>60</v>
      </c>
      <c r="H24" t="s">
        <v>56</v>
      </c>
      <c r="I24">
        <v>28682617</v>
      </c>
      <c r="J24" s="4">
        <f t="shared" si="1"/>
        <v>1434.13085</v>
      </c>
    </row>
    <row r="25" spans="2:10" x14ac:dyDescent="0.25">
      <c r="G25" s="5" t="s">
        <v>61</v>
      </c>
      <c r="H25" t="s">
        <v>62</v>
      </c>
      <c r="I25">
        <v>61504.49</v>
      </c>
      <c r="J25" s="4">
        <f t="shared" si="0"/>
        <v>3.0752245</v>
      </c>
    </row>
    <row r="26" spans="2:10" x14ac:dyDescent="0.25">
      <c r="G26" s="5" t="s">
        <v>63</v>
      </c>
      <c r="H26" t="s">
        <v>64</v>
      </c>
      <c r="I26">
        <v>67593.266000000003</v>
      </c>
      <c r="J26" s="4">
        <f t="shared" si="0"/>
        <v>3.3796633000000003</v>
      </c>
    </row>
    <row r="27" spans="2:10" x14ac:dyDescent="0.25">
      <c r="G27" s="5" t="s">
        <v>65</v>
      </c>
      <c r="H27" t="s">
        <v>66</v>
      </c>
      <c r="I27">
        <v>404681.5</v>
      </c>
      <c r="J27" s="4">
        <f t="shared" si="0"/>
        <v>20.234075000000001</v>
      </c>
    </row>
    <row r="28" spans="2:10" ht="15.75" thickBot="1" x14ac:dyDescent="0.3">
      <c r="G28" s="6" t="s">
        <v>67</v>
      </c>
      <c r="H28" s="7" t="s">
        <v>68</v>
      </c>
      <c r="I28" s="7">
        <v>18968.921999999999</v>
      </c>
      <c r="J28" s="8">
        <f t="shared" si="0"/>
        <v>0.94844609999999996</v>
      </c>
    </row>
    <row r="30" spans="2:10" ht="15.75" thickBot="1" x14ac:dyDescent="0.3"/>
    <row r="31" spans="2:10" x14ac:dyDescent="0.25">
      <c r="B31" s="64" t="s">
        <v>1</v>
      </c>
      <c r="C31" s="65"/>
      <c r="D31" s="65"/>
      <c r="E31" s="66"/>
      <c r="G31" s="64" t="s">
        <v>69</v>
      </c>
      <c r="H31" s="65"/>
      <c r="I31" s="65"/>
      <c r="J31" s="66"/>
    </row>
    <row r="32" spans="2:10" x14ac:dyDescent="0.25">
      <c r="B32" s="61" t="s">
        <v>13</v>
      </c>
      <c r="C32" s="63"/>
      <c r="D32" s="63"/>
      <c r="E32" s="4" t="s">
        <v>459</v>
      </c>
      <c r="G32" s="61" t="s">
        <v>37</v>
      </c>
      <c r="H32" s="63"/>
      <c r="I32" s="63"/>
      <c r="J32" s="4">
        <v>5000</v>
      </c>
    </row>
    <row r="33" spans="2:10" x14ac:dyDescent="0.25">
      <c r="B33" s="61" t="s">
        <v>14</v>
      </c>
      <c r="C33" s="63"/>
      <c r="D33" s="63"/>
      <c r="E33" s="4" t="s">
        <v>8</v>
      </c>
      <c r="G33" s="61" t="s">
        <v>14</v>
      </c>
      <c r="H33" s="63"/>
      <c r="I33" s="63"/>
      <c r="J33" s="4" t="s">
        <v>8</v>
      </c>
    </row>
    <row r="34" spans="2:10" x14ac:dyDescent="0.25">
      <c r="B34" s="3"/>
      <c r="C34" s="2"/>
      <c r="D34" s="2"/>
      <c r="E34" s="4"/>
      <c r="G34" s="61" t="s">
        <v>70</v>
      </c>
      <c r="H34" s="63"/>
      <c r="I34" s="63"/>
      <c r="J34" s="4" t="s">
        <v>85</v>
      </c>
    </row>
    <row r="35" spans="2:10" x14ac:dyDescent="0.25">
      <c r="B35" s="79" t="s">
        <v>7</v>
      </c>
      <c r="C35" s="80"/>
      <c r="D35" s="80"/>
      <c r="E35" s="81"/>
      <c r="G35" s="61" t="s">
        <v>18</v>
      </c>
      <c r="H35" s="63"/>
      <c r="I35" s="63"/>
      <c r="J35" s="4" t="s">
        <v>20</v>
      </c>
    </row>
    <row r="36" spans="2:10" x14ac:dyDescent="0.25">
      <c r="B36" s="5" t="s">
        <v>9</v>
      </c>
      <c r="C36" t="s">
        <v>10</v>
      </c>
      <c r="D36" t="s">
        <v>11</v>
      </c>
      <c r="E36" s="4" t="s">
        <v>12</v>
      </c>
      <c r="G36" s="9" t="s">
        <v>144</v>
      </c>
      <c r="H36" s="10" t="s">
        <v>12</v>
      </c>
      <c r="I36" s="10" t="s">
        <v>17</v>
      </c>
      <c r="J36" s="11" t="s">
        <v>19</v>
      </c>
    </row>
    <row r="37" spans="2:10" x14ac:dyDescent="0.25">
      <c r="B37" s="75" t="s">
        <v>441</v>
      </c>
      <c r="C37" t="s">
        <v>79</v>
      </c>
      <c r="D37">
        <v>999.88499999999999</v>
      </c>
      <c r="E37" s="4" t="s">
        <v>451</v>
      </c>
      <c r="G37" s="5" t="s">
        <v>38</v>
      </c>
      <c r="H37" t="s">
        <v>39</v>
      </c>
      <c r="I37">
        <v>12626891</v>
      </c>
      <c r="J37" s="4">
        <f>I37/$J$32</f>
        <v>2525.3782000000001</v>
      </c>
    </row>
    <row r="38" spans="2:10" x14ac:dyDescent="0.25">
      <c r="B38" s="75"/>
      <c r="C38" t="s">
        <v>442</v>
      </c>
      <c r="D38">
        <v>19.1601</v>
      </c>
      <c r="E38" s="4" t="s">
        <v>451</v>
      </c>
      <c r="G38" s="5" t="s">
        <v>40</v>
      </c>
      <c r="H38" t="s">
        <v>41</v>
      </c>
      <c r="I38">
        <v>3.8397494000000001</v>
      </c>
      <c r="J38" s="4">
        <f>I38/$J$32</f>
        <v>7.6794988000000004E-4</v>
      </c>
    </row>
    <row r="39" spans="2:10" x14ac:dyDescent="0.25">
      <c r="B39" s="75"/>
      <c r="C39" t="s">
        <v>443</v>
      </c>
      <c r="D39">
        <v>8.3759999999999994</v>
      </c>
      <c r="E39" s="4" t="s">
        <v>451</v>
      </c>
      <c r="G39" s="5" t="s">
        <v>42</v>
      </c>
      <c r="H39" t="s">
        <v>43</v>
      </c>
      <c r="I39">
        <v>1151219.1000000001</v>
      </c>
      <c r="J39" s="4">
        <f>I39/$J$32</f>
        <v>230.24382000000003</v>
      </c>
    </row>
    <row r="40" spans="2:10" x14ac:dyDescent="0.25">
      <c r="B40" s="75"/>
      <c r="C40" t="s">
        <v>444</v>
      </c>
      <c r="D40">
        <v>7.5179999999999998</v>
      </c>
      <c r="E40" s="4" t="s">
        <v>451</v>
      </c>
      <c r="G40" s="5" t="s">
        <v>44</v>
      </c>
      <c r="H40" t="s">
        <v>45</v>
      </c>
      <c r="I40">
        <v>30911.01</v>
      </c>
      <c r="J40" s="4">
        <f>I40/$J$32</f>
        <v>6.1822019999999993</v>
      </c>
    </row>
    <row r="41" spans="2:10" x14ac:dyDescent="0.25">
      <c r="B41" s="75"/>
      <c r="C41" t="s">
        <v>445</v>
      </c>
      <c r="D41">
        <v>4.1879999999999997</v>
      </c>
      <c r="E41" s="4" t="s">
        <v>451</v>
      </c>
      <c r="G41" s="5" t="s">
        <v>46</v>
      </c>
      <c r="H41" t="s">
        <v>47</v>
      </c>
      <c r="I41">
        <v>31610.448</v>
      </c>
      <c r="J41" s="4">
        <f t="shared" ref="J41:J54" si="2">I41/$J$32</f>
        <v>6.3220896</v>
      </c>
    </row>
    <row r="42" spans="2:10" x14ac:dyDescent="0.25">
      <c r="B42" s="75"/>
      <c r="C42" t="s">
        <v>446</v>
      </c>
      <c r="D42">
        <v>2.6175000000000002</v>
      </c>
      <c r="E42" s="4" t="s">
        <v>451</v>
      </c>
      <c r="G42" s="5" t="s">
        <v>48</v>
      </c>
      <c r="H42" t="s">
        <v>45</v>
      </c>
      <c r="I42">
        <v>31630.927</v>
      </c>
      <c r="J42" s="4">
        <f t="shared" si="2"/>
        <v>6.3261854</v>
      </c>
    </row>
    <row r="43" spans="2:10" x14ac:dyDescent="0.25">
      <c r="B43" s="75"/>
      <c r="C43" t="s">
        <v>447</v>
      </c>
      <c r="D43">
        <v>2.0939999999999999</v>
      </c>
      <c r="E43" s="4" t="s">
        <v>451</v>
      </c>
      <c r="G43" s="5" t="s">
        <v>49</v>
      </c>
      <c r="H43" t="s">
        <v>50</v>
      </c>
      <c r="I43">
        <v>61258.063000000002</v>
      </c>
      <c r="J43" s="4">
        <f t="shared" si="2"/>
        <v>12.2516126</v>
      </c>
    </row>
    <row r="44" spans="2:10" x14ac:dyDescent="0.25">
      <c r="B44" s="75"/>
      <c r="C44" t="s">
        <v>76</v>
      </c>
      <c r="D44">
        <v>11232</v>
      </c>
      <c r="E44" s="4" t="s">
        <v>440</v>
      </c>
      <c r="G44" s="5" t="s">
        <v>51</v>
      </c>
      <c r="H44" t="s">
        <v>52</v>
      </c>
      <c r="I44">
        <v>8787.9945000000007</v>
      </c>
      <c r="J44" s="4">
        <f t="shared" si="2"/>
        <v>1.7575989000000001</v>
      </c>
    </row>
    <row r="45" spans="2:10" x14ac:dyDescent="0.25">
      <c r="B45" s="75" t="s">
        <v>448</v>
      </c>
      <c r="C45" t="s">
        <v>79</v>
      </c>
      <c r="D45">
        <v>43.93</v>
      </c>
      <c r="E45" s="4" t="s">
        <v>451</v>
      </c>
      <c r="G45" s="5" t="s">
        <v>53</v>
      </c>
      <c r="H45" t="s">
        <v>54</v>
      </c>
      <c r="I45">
        <v>439.48095999999998</v>
      </c>
      <c r="J45" s="4">
        <f t="shared" si="2"/>
        <v>8.7896191999999998E-2</v>
      </c>
    </row>
    <row r="46" spans="2:10" x14ac:dyDescent="0.25">
      <c r="B46" s="75"/>
      <c r="C46" t="s">
        <v>442</v>
      </c>
      <c r="D46">
        <v>0.84179999999999999</v>
      </c>
      <c r="E46" s="4" t="s">
        <v>451</v>
      </c>
      <c r="G46" s="5" t="s">
        <v>55</v>
      </c>
      <c r="H46" t="s">
        <v>56</v>
      </c>
      <c r="I46">
        <v>88742357</v>
      </c>
      <c r="J46" s="4">
        <f t="shared" si="2"/>
        <v>17748.471399999999</v>
      </c>
    </row>
    <row r="47" spans="2:10" x14ac:dyDescent="0.25">
      <c r="B47" s="75"/>
      <c r="C47" t="s">
        <v>443</v>
      </c>
      <c r="D47">
        <v>0.36799999999999999</v>
      </c>
      <c r="E47" s="4" t="s">
        <v>451</v>
      </c>
      <c r="G47" s="5" t="s">
        <v>57</v>
      </c>
      <c r="H47" t="s">
        <v>56</v>
      </c>
      <c r="I47">
        <v>1855966.8</v>
      </c>
      <c r="J47" s="4">
        <f t="shared" si="2"/>
        <v>371.19335999999998</v>
      </c>
    </row>
    <row r="48" spans="2:10" x14ac:dyDescent="0.25">
      <c r="B48" s="75"/>
      <c r="C48" t="s">
        <v>444</v>
      </c>
      <c r="D48">
        <v>0.32200000000000001</v>
      </c>
      <c r="E48" s="4" t="s">
        <v>451</v>
      </c>
      <c r="G48" s="5" t="s">
        <v>58</v>
      </c>
      <c r="H48" t="s">
        <v>56</v>
      </c>
      <c r="I48">
        <v>2479515.5</v>
      </c>
      <c r="J48" s="4">
        <f t="shared" si="2"/>
        <v>495.90309999999999</v>
      </c>
    </row>
    <row r="49" spans="2:10" x14ac:dyDescent="0.25">
      <c r="B49" s="75"/>
      <c r="C49" t="s">
        <v>445</v>
      </c>
      <c r="D49">
        <v>0.184</v>
      </c>
      <c r="E49" s="4" t="s">
        <v>451</v>
      </c>
      <c r="G49" s="5" t="s">
        <v>59</v>
      </c>
      <c r="H49" t="s">
        <v>56</v>
      </c>
      <c r="I49">
        <v>24991087</v>
      </c>
      <c r="J49" s="4">
        <f t="shared" si="2"/>
        <v>4998.2174000000005</v>
      </c>
    </row>
    <row r="50" spans="2:10" x14ac:dyDescent="0.25">
      <c r="B50" s="75"/>
      <c r="C50" t="s">
        <v>446</v>
      </c>
      <c r="D50">
        <v>0.115</v>
      </c>
      <c r="E50" s="4" t="s">
        <v>451</v>
      </c>
      <c r="G50" s="5" t="s">
        <v>60</v>
      </c>
      <c r="H50" t="s">
        <v>56</v>
      </c>
      <c r="I50">
        <v>42123051</v>
      </c>
      <c r="J50" s="4">
        <f t="shared" si="2"/>
        <v>8424.6101999999992</v>
      </c>
    </row>
    <row r="51" spans="2:10" x14ac:dyDescent="0.25">
      <c r="B51" s="75"/>
      <c r="C51" t="s">
        <v>447</v>
      </c>
      <c r="D51">
        <v>9.1999999999999998E-2</v>
      </c>
      <c r="E51" s="4" t="s">
        <v>451</v>
      </c>
      <c r="G51" s="5" t="s">
        <v>61</v>
      </c>
      <c r="H51" t="s">
        <v>62</v>
      </c>
      <c r="I51">
        <v>308556.7</v>
      </c>
      <c r="J51" s="4">
        <f t="shared" si="2"/>
        <v>61.71134</v>
      </c>
    </row>
    <row r="52" spans="2:10" x14ac:dyDescent="0.25">
      <c r="B52" s="75"/>
      <c r="C52" t="s">
        <v>76</v>
      </c>
      <c r="D52">
        <v>346</v>
      </c>
      <c r="E52" s="4" t="s">
        <v>440</v>
      </c>
      <c r="G52" s="5" t="s">
        <v>63</v>
      </c>
      <c r="H52" t="s">
        <v>64</v>
      </c>
      <c r="I52">
        <v>338488.22</v>
      </c>
      <c r="J52" s="4">
        <f t="shared" si="2"/>
        <v>67.697643999999997</v>
      </c>
    </row>
    <row r="53" spans="2:10" x14ac:dyDescent="0.25">
      <c r="B53" s="5" t="s">
        <v>452</v>
      </c>
      <c r="C53" t="s">
        <v>79</v>
      </c>
      <c r="D53">
        <v>636</v>
      </c>
      <c r="E53" s="4" t="s">
        <v>451</v>
      </c>
      <c r="G53" s="5" t="s">
        <v>65</v>
      </c>
      <c r="H53" t="s">
        <v>66</v>
      </c>
      <c r="I53">
        <v>3202599</v>
      </c>
      <c r="J53" s="4">
        <f t="shared" si="2"/>
        <v>640.51980000000003</v>
      </c>
    </row>
    <row r="54" spans="2:10" ht="15.75" thickBot="1" x14ac:dyDescent="0.3">
      <c r="B54" s="75" t="s">
        <v>449</v>
      </c>
      <c r="C54" t="s">
        <v>81</v>
      </c>
      <c r="D54">
        <v>34</v>
      </c>
      <c r="E54" s="4" t="s">
        <v>451</v>
      </c>
      <c r="G54" s="6" t="s">
        <v>67</v>
      </c>
      <c r="H54" s="7" t="s">
        <v>68</v>
      </c>
      <c r="I54" s="7">
        <v>111441.16</v>
      </c>
      <c r="J54" s="8">
        <f t="shared" si="2"/>
        <v>22.288232000000001</v>
      </c>
    </row>
    <row r="55" spans="2:10" x14ac:dyDescent="0.25">
      <c r="B55" s="75"/>
      <c r="C55" t="s">
        <v>76</v>
      </c>
      <c r="D55">
        <v>249</v>
      </c>
      <c r="E55" s="4" t="s">
        <v>440</v>
      </c>
    </row>
    <row r="56" spans="2:10" x14ac:dyDescent="0.25">
      <c r="B56" s="75"/>
      <c r="C56" t="s">
        <v>438</v>
      </c>
      <c r="D56">
        <v>453</v>
      </c>
      <c r="E56" s="4" t="s">
        <v>437</v>
      </c>
    </row>
    <row r="57" spans="2:10" x14ac:dyDescent="0.25">
      <c r="B57" s="75"/>
      <c r="C57" t="s">
        <v>450</v>
      </c>
      <c r="D57">
        <v>2282</v>
      </c>
      <c r="E57" s="4" t="s">
        <v>451</v>
      </c>
    </row>
    <row r="58" spans="2:10" x14ac:dyDescent="0.25">
      <c r="B58" s="75"/>
      <c r="C58" t="s">
        <v>439</v>
      </c>
      <c r="D58">
        <v>72</v>
      </c>
      <c r="E58" s="4" t="s">
        <v>437</v>
      </c>
    </row>
    <row r="59" spans="2:10" x14ac:dyDescent="0.25">
      <c r="B59" s="75"/>
      <c r="C59" t="s">
        <v>453</v>
      </c>
      <c r="D59">
        <v>0.28000000000000003</v>
      </c>
      <c r="E59" s="4" t="s">
        <v>437</v>
      </c>
    </row>
    <row r="60" spans="2:10" x14ac:dyDescent="0.25">
      <c r="B60" s="75"/>
      <c r="C60" t="s">
        <v>454</v>
      </c>
      <c r="D60">
        <v>0.06</v>
      </c>
      <c r="E60" s="4" t="s">
        <v>437</v>
      </c>
    </row>
    <row r="61" spans="2:10" x14ac:dyDescent="0.25">
      <c r="B61" s="75" t="s">
        <v>455</v>
      </c>
      <c r="C61" t="s">
        <v>82</v>
      </c>
      <c r="D61">
        <v>4.5</v>
      </c>
      <c r="E61" s="4" t="s">
        <v>451</v>
      </c>
    </row>
    <row r="62" spans="2:10" x14ac:dyDescent="0.25">
      <c r="B62" s="75"/>
      <c r="C62" t="s">
        <v>81</v>
      </c>
      <c r="D62">
        <v>4.5</v>
      </c>
      <c r="E62" s="4" t="s">
        <v>451</v>
      </c>
    </row>
    <row r="63" spans="2:10" x14ac:dyDescent="0.25">
      <c r="B63" s="75"/>
      <c r="C63" t="s">
        <v>76</v>
      </c>
      <c r="D63">
        <v>1</v>
      </c>
      <c r="E63" s="4" t="s">
        <v>440</v>
      </c>
    </row>
    <row r="64" spans="2:10" ht="15.75" thickBot="1" x14ac:dyDescent="0.3">
      <c r="B64" s="6" t="s">
        <v>28</v>
      </c>
      <c r="C64" s="7" t="s">
        <v>75</v>
      </c>
      <c r="D64" s="7">
        <v>421.5</v>
      </c>
      <c r="E64" s="8" t="s">
        <v>437</v>
      </c>
    </row>
    <row r="66" spans="2:6" ht="15.75" thickBot="1" x14ac:dyDescent="0.3"/>
    <row r="67" spans="2:6" x14ac:dyDescent="0.25">
      <c r="B67" s="76" t="s">
        <v>109</v>
      </c>
      <c r="C67" s="77"/>
      <c r="D67" s="77"/>
      <c r="E67" s="77"/>
      <c r="F67" s="78"/>
    </row>
    <row r="68" spans="2:6" x14ac:dyDescent="0.25">
      <c r="B68" s="73" t="s">
        <v>456</v>
      </c>
      <c r="C68" s="74"/>
      <c r="D68" s="74"/>
      <c r="E68" s="38"/>
      <c r="F68" s="13"/>
    </row>
    <row r="69" spans="2:6" x14ac:dyDescent="0.25">
      <c r="B69" s="5" t="s">
        <v>121</v>
      </c>
      <c r="C69" s="17" t="s">
        <v>7</v>
      </c>
      <c r="D69" t="s">
        <v>118</v>
      </c>
      <c r="E69" t="s">
        <v>117</v>
      </c>
      <c r="F69" s="4" t="s">
        <v>12</v>
      </c>
    </row>
    <row r="70" spans="2:6" ht="15.75" thickBot="1" x14ac:dyDescent="0.3">
      <c r="B70" s="6" t="s">
        <v>116</v>
      </c>
      <c r="C70" s="7" t="s">
        <v>75</v>
      </c>
      <c r="D70" s="7">
        <v>421.5</v>
      </c>
      <c r="E70" s="7">
        <v>68.5</v>
      </c>
      <c r="F70" s="8" t="s">
        <v>437</v>
      </c>
    </row>
    <row r="72" spans="2:6" x14ac:dyDescent="0.25">
      <c r="B72" t="s">
        <v>83</v>
      </c>
      <c r="C72" t="s">
        <v>457</v>
      </c>
    </row>
  </sheetData>
  <mergeCells count="26">
    <mergeCell ref="B5:E5"/>
    <mergeCell ref="G5:J5"/>
    <mergeCell ref="B6:D6"/>
    <mergeCell ref="G6:I6"/>
    <mergeCell ref="B7:D7"/>
    <mergeCell ref="G7:I7"/>
    <mergeCell ref="G8:I8"/>
    <mergeCell ref="B9:E9"/>
    <mergeCell ref="G9:I9"/>
    <mergeCell ref="B31:E31"/>
    <mergeCell ref="G31:J31"/>
    <mergeCell ref="G32:I32"/>
    <mergeCell ref="B33:D33"/>
    <mergeCell ref="G33:I33"/>
    <mergeCell ref="G34:I34"/>
    <mergeCell ref="B35:E35"/>
    <mergeCell ref="G35:I35"/>
    <mergeCell ref="B68:D68"/>
    <mergeCell ref="B11:B13"/>
    <mergeCell ref="B37:B44"/>
    <mergeCell ref="B45:B52"/>
    <mergeCell ref="B54:B60"/>
    <mergeCell ref="B14:B21"/>
    <mergeCell ref="B61:B63"/>
    <mergeCell ref="B67:F67"/>
    <mergeCell ref="B32:D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F4F05-471E-4441-B787-FB3758CE93DA}">
  <dimension ref="B2:DA101"/>
  <sheetViews>
    <sheetView zoomScale="70" zoomScaleNormal="70" workbookViewId="0">
      <selection activeCell="AH52" sqref="AH52"/>
    </sheetView>
  </sheetViews>
  <sheetFormatPr defaultRowHeight="15" x14ac:dyDescent="0.25"/>
  <cols>
    <col min="2" max="2" width="15.7109375" customWidth="1"/>
    <col min="3" max="3" width="151.28515625" customWidth="1"/>
    <col min="5" max="5" width="17.42578125" customWidth="1"/>
    <col min="6" max="6" width="12" customWidth="1"/>
    <col min="7" max="7" width="36.85546875" customWidth="1"/>
    <col min="8" max="8" width="12.42578125" customWidth="1"/>
    <col min="9" max="9" width="13.85546875" customWidth="1"/>
    <col min="10" max="10" width="37.85546875" customWidth="1"/>
    <col min="11" max="11" width="42.28515625" customWidth="1"/>
    <col min="12" max="12" width="37.85546875" customWidth="1"/>
    <col min="16" max="16" width="12.140625" customWidth="1"/>
  </cols>
  <sheetData>
    <row r="2" spans="2:12" x14ac:dyDescent="0.25">
      <c r="B2" s="82" t="s">
        <v>2</v>
      </c>
      <c r="C2" s="82"/>
      <c r="D2" s="1" t="s">
        <v>554</v>
      </c>
    </row>
    <row r="3" spans="2:12" x14ac:dyDescent="0.25">
      <c r="C3" s="82" t="s">
        <v>553</v>
      </c>
      <c r="D3" s="1" t="s">
        <v>542</v>
      </c>
    </row>
    <row r="4" spans="2:12" x14ac:dyDescent="0.25">
      <c r="C4" s="82"/>
      <c r="D4" s="1" t="s">
        <v>543</v>
      </c>
    </row>
    <row r="5" spans="2:12" ht="15.75" thickBot="1" x14ac:dyDescent="0.3"/>
    <row r="6" spans="2:12" x14ac:dyDescent="0.25">
      <c r="B6" s="70" t="s">
        <v>0</v>
      </c>
      <c r="C6" s="71"/>
      <c r="D6" s="71"/>
      <c r="E6" s="72"/>
      <c r="G6" s="70" t="s">
        <v>15</v>
      </c>
      <c r="H6" s="71"/>
      <c r="I6" s="71"/>
      <c r="J6" s="71"/>
      <c r="K6" s="71"/>
      <c r="L6" s="72"/>
    </row>
    <row r="7" spans="2:12" x14ac:dyDescent="0.25">
      <c r="B7" s="61" t="s">
        <v>6</v>
      </c>
      <c r="C7" s="63"/>
      <c r="D7" s="63"/>
      <c r="E7" s="4" t="s">
        <v>516</v>
      </c>
      <c r="G7" s="61" t="s">
        <v>35</v>
      </c>
      <c r="H7" s="63"/>
      <c r="I7" s="63"/>
      <c r="J7">
        <v>1129.05</v>
      </c>
      <c r="L7" s="4"/>
    </row>
    <row r="8" spans="2:12" x14ac:dyDescent="0.25">
      <c r="B8" s="61" t="s">
        <v>5</v>
      </c>
      <c r="C8" s="63"/>
      <c r="D8" s="63"/>
      <c r="E8" s="4" t="s">
        <v>561</v>
      </c>
      <c r="G8" s="61" t="s">
        <v>5</v>
      </c>
      <c r="H8" s="63"/>
      <c r="I8" s="63"/>
      <c r="J8">
        <v>1300</v>
      </c>
      <c r="L8" s="4"/>
    </row>
    <row r="9" spans="2:12" x14ac:dyDescent="0.25">
      <c r="B9" s="19"/>
      <c r="C9" s="20"/>
      <c r="D9" s="20"/>
      <c r="E9" s="11"/>
      <c r="G9" s="9" t="s">
        <v>18</v>
      </c>
      <c r="H9" s="83" t="s">
        <v>20</v>
      </c>
      <c r="I9" s="83"/>
      <c r="J9" s="83"/>
      <c r="K9" s="83"/>
      <c r="L9" s="84"/>
    </row>
    <row r="10" spans="2:12" x14ac:dyDescent="0.25">
      <c r="B10" s="67" t="s">
        <v>7</v>
      </c>
      <c r="C10" s="68"/>
      <c r="D10" s="68"/>
      <c r="E10" s="69"/>
      <c r="G10" s="5" t="s">
        <v>70</v>
      </c>
      <c r="I10" s="82" t="s">
        <v>85</v>
      </c>
      <c r="J10" s="82"/>
      <c r="K10" s="82" t="s">
        <v>71</v>
      </c>
      <c r="L10" s="85"/>
    </row>
    <row r="11" spans="2:12" x14ac:dyDescent="0.25">
      <c r="B11" s="5" t="s">
        <v>9</v>
      </c>
      <c r="C11" t="s">
        <v>10</v>
      </c>
      <c r="D11" t="s">
        <v>11</v>
      </c>
      <c r="E11" s="4" t="s">
        <v>12</v>
      </c>
      <c r="G11" s="5" t="s">
        <v>16</v>
      </c>
      <c r="H11" t="s">
        <v>12</v>
      </c>
      <c r="I11" t="s">
        <v>17</v>
      </c>
      <c r="J11" t="s">
        <v>36</v>
      </c>
      <c r="K11" t="s">
        <v>17</v>
      </c>
      <c r="L11" s="4" t="s">
        <v>36</v>
      </c>
    </row>
    <row r="12" spans="2:12" x14ac:dyDescent="0.25">
      <c r="B12" s="75" t="s">
        <v>517</v>
      </c>
      <c r="C12" s="37" t="s">
        <v>518</v>
      </c>
      <c r="D12" s="56">
        <v>263.54399999999998</v>
      </c>
      <c r="E12" s="39" t="s">
        <v>22</v>
      </c>
      <c r="G12" s="5" t="s">
        <v>38</v>
      </c>
      <c r="H12" t="s">
        <v>39</v>
      </c>
      <c r="I12">
        <v>44102.928</v>
      </c>
      <c r="J12">
        <f>I12/$J$7</f>
        <v>39.061979540321509</v>
      </c>
      <c r="K12">
        <v>50691.428999999996</v>
      </c>
      <c r="L12" s="4">
        <f>K12/$J$7</f>
        <v>44.897417297728175</v>
      </c>
    </row>
    <row r="13" spans="2:12" x14ac:dyDescent="0.25">
      <c r="B13" s="75"/>
      <c r="C13" s="37" t="s">
        <v>519</v>
      </c>
      <c r="D13" s="56">
        <v>131.77199999999999</v>
      </c>
      <c r="E13" s="39" t="s">
        <v>22</v>
      </c>
      <c r="G13" s="5" t="s">
        <v>40</v>
      </c>
      <c r="H13" t="s">
        <v>41</v>
      </c>
      <c r="I13">
        <v>2.1555984E-2</v>
      </c>
      <c r="J13">
        <f t="shared" ref="J13:J29" si="0">I13/$J$7</f>
        <v>1.9092142952039325E-5</v>
      </c>
      <c r="K13">
        <v>2.2551227E-2</v>
      </c>
      <c r="L13" s="4">
        <f t="shared" ref="L13:L29" si="1">K13/$J$7</f>
        <v>1.997363004295647E-5</v>
      </c>
    </row>
    <row r="14" spans="2:12" x14ac:dyDescent="0.25">
      <c r="B14" s="75"/>
      <c r="C14" s="37" t="s">
        <v>520</v>
      </c>
      <c r="D14" s="56">
        <v>37.555019999999999</v>
      </c>
      <c r="E14" s="39" t="s">
        <v>22</v>
      </c>
      <c r="G14" s="5" t="s">
        <v>42</v>
      </c>
      <c r="H14" t="s">
        <v>43</v>
      </c>
      <c r="I14">
        <v>2530.6383000000001</v>
      </c>
      <c r="J14">
        <f t="shared" si="0"/>
        <v>2.2413872724857185</v>
      </c>
      <c r="K14">
        <v>3204.0569999999998</v>
      </c>
      <c r="L14" s="4">
        <f t="shared" si="1"/>
        <v>2.8378344626013021</v>
      </c>
    </row>
    <row r="15" spans="2:12" x14ac:dyDescent="0.25">
      <c r="B15" s="75"/>
      <c r="C15" t="s">
        <v>523</v>
      </c>
      <c r="D15" s="56">
        <v>5.0964686385861047</v>
      </c>
      <c r="E15" s="4" t="s">
        <v>22</v>
      </c>
      <c r="G15" s="5" t="s">
        <v>44</v>
      </c>
      <c r="H15" t="s">
        <v>45</v>
      </c>
      <c r="I15">
        <v>178.23625999999999</v>
      </c>
      <c r="J15">
        <f t="shared" si="0"/>
        <v>0.15786392099552721</v>
      </c>
      <c r="K15">
        <v>173.89007000000001</v>
      </c>
      <c r="L15" s="4">
        <f t="shared" si="1"/>
        <v>0.15401449891501706</v>
      </c>
    </row>
    <row r="16" spans="2:12" x14ac:dyDescent="0.25">
      <c r="B16" s="75"/>
      <c r="C16" t="s">
        <v>524</v>
      </c>
      <c r="D16" s="56">
        <v>2.353006689992375E-7</v>
      </c>
      <c r="E16" s="4" t="s">
        <v>150</v>
      </c>
      <c r="G16" s="5" t="s">
        <v>46</v>
      </c>
      <c r="H16" t="s">
        <v>47</v>
      </c>
      <c r="I16">
        <v>227.57596000000001</v>
      </c>
      <c r="J16">
        <f t="shared" si="0"/>
        <v>0.20156411142110625</v>
      </c>
      <c r="K16">
        <v>222.56585000000001</v>
      </c>
      <c r="L16" s="4">
        <f t="shared" si="1"/>
        <v>0.19712665515256192</v>
      </c>
    </row>
    <row r="17" spans="2:12" x14ac:dyDescent="0.25">
      <c r="B17" s="75"/>
      <c r="C17" t="s">
        <v>525</v>
      </c>
      <c r="D17" s="56">
        <v>51.375691921230896</v>
      </c>
      <c r="E17" s="4" t="s">
        <v>22</v>
      </c>
      <c r="G17" s="5" t="s">
        <v>48</v>
      </c>
      <c r="H17" t="s">
        <v>45</v>
      </c>
      <c r="I17">
        <v>189.85736</v>
      </c>
      <c r="J17">
        <f t="shared" si="0"/>
        <v>0.16815673353704441</v>
      </c>
      <c r="K17">
        <v>185.48787999999999</v>
      </c>
      <c r="L17" s="4">
        <f t="shared" si="1"/>
        <v>0.16428668349497363</v>
      </c>
    </row>
    <row r="18" spans="2:12" x14ac:dyDescent="0.25">
      <c r="B18" s="75"/>
      <c r="C18" t="s">
        <v>481</v>
      </c>
      <c r="D18" s="56">
        <v>5.0964686385861047</v>
      </c>
      <c r="E18" s="4" t="s">
        <v>22</v>
      </c>
      <c r="G18" s="5" t="s">
        <v>49</v>
      </c>
      <c r="H18" t="s">
        <v>50</v>
      </c>
      <c r="I18">
        <v>618.96402999999998</v>
      </c>
      <c r="J18">
        <f t="shared" si="0"/>
        <v>0.54821666888091758</v>
      </c>
      <c r="K18">
        <v>613.97963000000004</v>
      </c>
      <c r="L18" s="4">
        <f t="shared" si="1"/>
        <v>0.5438019839688234</v>
      </c>
    </row>
    <row r="19" spans="2:12" x14ac:dyDescent="0.25">
      <c r="B19" s="75"/>
      <c r="C19" t="s">
        <v>529</v>
      </c>
      <c r="D19">
        <v>25.2563</v>
      </c>
      <c r="E19" s="4" t="s">
        <v>22</v>
      </c>
      <c r="G19" s="5" t="s">
        <v>51</v>
      </c>
      <c r="H19" t="s">
        <v>52</v>
      </c>
      <c r="I19">
        <v>80.379042999999996</v>
      </c>
      <c r="J19">
        <f t="shared" si="0"/>
        <v>7.1191747929675392E-2</v>
      </c>
      <c r="K19">
        <v>80.381979000000001</v>
      </c>
      <c r="L19" s="4">
        <f t="shared" si="1"/>
        <v>7.1194348345954561E-2</v>
      </c>
    </row>
    <row r="20" spans="2:12" x14ac:dyDescent="0.25">
      <c r="B20" s="75"/>
      <c r="C20" t="s">
        <v>79</v>
      </c>
      <c r="D20" s="56">
        <v>51.375691921230896</v>
      </c>
      <c r="E20" s="4" t="s">
        <v>22</v>
      </c>
      <c r="G20" s="5" t="s">
        <v>53</v>
      </c>
      <c r="H20" t="s">
        <v>54</v>
      </c>
      <c r="I20">
        <v>2.5839189</v>
      </c>
      <c r="J20">
        <f t="shared" si="0"/>
        <v>2.2885779194898367E-3</v>
      </c>
      <c r="K20">
        <v>2.6287273999999998</v>
      </c>
      <c r="L20" s="4">
        <f t="shared" si="1"/>
        <v>2.3282648244099019E-3</v>
      </c>
    </row>
    <row r="21" spans="2:12" x14ac:dyDescent="0.25">
      <c r="B21" s="75"/>
      <c r="C21" t="s">
        <v>526</v>
      </c>
      <c r="D21" s="56">
        <v>282.56630556676993</v>
      </c>
      <c r="E21" s="4" t="s">
        <v>426</v>
      </c>
      <c r="G21" s="5" t="s">
        <v>55</v>
      </c>
      <c r="H21" t="s">
        <v>56</v>
      </c>
      <c r="I21">
        <v>1615185.7</v>
      </c>
      <c r="J21">
        <f t="shared" si="0"/>
        <v>1430.5705681767859</v>
      </c>
      <c r="K21">
        <v>1615743.3</v>
      </c>
      <c r="L21" s="4">
        <f t="shared" si="1"/>
        <v>1431.0644347017405</v>
      </c>
    </row>
    <row r="22" spans="2:12" x14ac:dyDescent="0.25">
      <c r="B22" s="75"/>
      <c r="C22" t="s">
        <v>527</v>
      </c>
      <c r="D22" s="56">
        <v>282.56630556676993</v>
      </c>
      <c r="E22" s="4" t="s">
        <v>426</v>
      </c>
      <c r="G22" s="5" t="s">
        <v>57</v>
      </c>
      <c r="H22" t="s">
        <v>56</v>
      </c>
      <c r="I22">
        <v>53665.923999999999</v>
      </c>
      <c r="J22">
        <f t="shared" si="0"/>
        <v>47.531928612550374</v>
      </c>
      <c r="K22">
        <v>55599.896000000001</v>
      </c>
      <c r="L22" s="4">
        <f t="shared" si="1"/>
        <v>49.244848323812057</v>
      </c>
    </row>
    <row r="23" spans="2:12" x14ac:dyDescent="0.25">
      <c r="B23" s="75" t="s">
        <v>521</v>
      </c>
      <c r="C23" t="s">
        <v>524</v>
      </c>
      <c r="D23">
        <v>5.0634321177051103E-8</v>
      </c>
      <c r="E23" s="4" t="s">
        <v>150</v>
      </c>
      <c r="G23" s="5" t="s">
        <v>58</v>
      </c>
      <c r="H23" t="s">
        <v>56</v>
      </c>
      <c r="I23">
        <v>67648.641000000003</v>
      </c>
      <c r="J23">
        <f t="shared" si="0"/>
        <v>59.916426199016875</v>
      </c>
      <c r="K23">
        <v>70030.176999999996</v>
      </c>
      <c r="L23" s="4">
        <f t="shared" si="1"/>
        <v>62.025753509587709</v>
      </c>
    </row>
    <row r="24" spans="2:12" x14ac:dyDescent="0.25">
      <c r="B24" s="75"/>
      <c r="C24" t="s">
        <v>525</v>
      </c>
      <c r="D24">
        <v>110.55528641277533</v>
      </c>
      <c r="E24" s="4" t="s">
        <v>22</v>
      </c>
      <c r="G24" s="5" t="s">
        <v>59</v>
      </c>
      <c r="H24" t="s">
        <v>56</v>
      </c>
      <c r="I24">
        <v>66482.41</v>
      </c>
      <c r="J24">
        <f t="shared" si="0"/>
        <v>58.883494973650421</v>
      </c>
      <c r="K24">
        <v>66354.91</v>
      </c>
      <c r="L24" s="4">
        <f t="shared" si="1"/>
        <v>58.770568176785801</v>
      </c>
    </row>
    <row r="25" spans="2:12" x14ac:dyDescent="0.25">
      <c r="B25" s="75"/>
      <c r="C25" t="s">
        <v>528</v>
      </c>
      <c r="D25">
        <v>6.0805407527026434</v>
      </c>
      <c r="E25" s="4" t="s">
        <v>22</v>
      </c>
      <c r="G25" s="5" t="s">
        <v>60</v>
      </c>
      <c r="H25" t="s">
        <v>56</v>
      </c>
      <c r="I25">
        <v>818352.2</v>
      </c>
      <c r="J25">
        <f t="shared" si="0"/>
        <v>724.81484433816036</v>
      </c>
      <c r="K25">
        <v>820902.47</v>
      </c>
      <c r="L25" s="4">
        <f t="shared" si="1"/>
        <v>727.07361941455201</v>
      </c>
    </row>
    <row r="26" spans="2:12" x14ac:dyDescent="0.25">
      <c r="B26" s="75"/>
      <c r="C26" t="s">
        <v>79</v>
      </c>
      <c r="D26">
        <v>110.55528641277533</v>
      </c>
      <c r="E26" s="4" t="s">
        <v>22</v>
      </c>
      <c r="G26" s="5" t="s">
        <v>61</v>
      </c>
      <c r="H26" t="s">
        <v>62</v>
      </c>
      <c r="I26">
        <v>3160.2224999999999</v>
      </c>
      <c r="J26">
        <f t="shared" si="0"/>
        <v>2.7990102298392454</v>
      </c>
      <c r="K26">
        <v>3142.4393</v>
      </c>
      <c r="L26" s="4">
        <f t="shared" si="1"/>
        <v>2.7832596430627521</v>
      </c>
    </row>
    <row r="27" spans="2:12" x14ac:dyDescent="0.25">
      <c r="B27" s="75"/>
      <c r="C27" t="s">
        <v>526</v>
      </c>
      <c r="D27">
        <v>34.824915220024231</v>
      </c>
      <c r="E27" s="4" t="s">
        <v>426</v>
      </c>
      <c r="G27" s="5" t="s">
        <v>63</v>
      </c>
      <c r="H27" t="s">
        <v>64</v>
      </c>
      <c r="I27">
        <v>2556.4243000000001</v>
      </c>
      <c r="J27">
        <f t="shared" si="0"/>
        <v>2.2642259421637663</v>
      </c>
      <c r="K27">
        <v>2556.6127000000001</v>
      </c>
      <c r="L27" s="4">
        <f t="shared" si="1"/>
        <v>2.2643928081130156</v>
      </c>
    </row>
    <row r="28" spans="2:12" x14ac:dyDescent="0.25">
      <c r="B28" s="75"/>
      <c r="C28" t="s">
        <v>527</v>
      </c>
      <c r="D28">
        <v>34.824915220024231</v>
      </c>
      <c r="E28" s="4" t="s">
        <v>426</v>
      </c>
      <c r="G28" s="5" t="s">
        <v>65</v>
      </c>
      <c r="H28" t="s">
        <v>66</v>
      </c>
      <c r="I28">
        <v>13633.954</v>
      </c>
      <c r="J28">
        <f t="shared" si="0"/>
        <v>12.075598069173198</v>
      </c>
      <c r="K28">
        <v>13220.6</v>
      </c>
      <c r="L28" s="4">
        <f t="shared" si="1"/>
        <v>11.709490279438466</v>
      </c>
    </row>
    <row r="29" spans="2:12" ht="15.75" thickBot="1" x14ac:dyDescent="0.3">
      <c r="B29" s="6" t="s">
        <v>522</v>
      </c>
      <c r="C29" s="58" t="s">
        <v>673</v>
      </c>
      <c r="D29" s="58">
        <v>2.6</v>
      </c>
      <c r="E29" s="59" t="s">
        <v>150</v>
      </c>
      <c r="G29" s="6" t="s">
        <v>67</v>
      </c>
      <c r="H29" s="7" t="s">
        <v>68</v>
      </c>
      <c r="I29" s="7">
        <v>542.59204999999997</v>
      </c>
      <c r="J29" s="7">
        <f t="shared" si="0"/>
        <v>0.48057397812320091</v>
      </c>
      <c r="K29" s="7">
        <v>550.90020000000004</v>
      </c>
      <c r="L29" s="8">
        <f t="shared" si="1"/>
        <v>0.48793250963199153</v>
      </c>
    </row>
    <row r="31" spans="2:12" ht="15.75" thickBot="1" x14ac:dyDescent="0.3"/>
    <row r="32" spans="2:12" x14ac:dyDescent="0.25">
      <c r="B32" s="64" t="s">
        <v>1</v>
      </c>
      <c r="C32" s="65"/>
      <c r="D32" s="65"/>
      <c r="E32" s="66"/>
      <c r="G32" s="64" t="s">
        <v>69</v>
      </c>
      <c r="H32" s="65"/>
      <c r="I32" s="65"/>
      <c r="J32" s="65"/>
      <c r="K32" s="65"/>
      <c r="L32" s="66"/>
    </row>
    <row r="33" spans="2:12" x14ac:dyDescent="0.25">
      <c r="B33" s="61" t="s">
        <v>13</v>
      </c>
      <c r="C33" s="63"/>
      <c r="D33" s="63"/>
      <c r="E33" s="4" t="s">
        <v>514</v>
      </c>
      <c r="G33" s="61" t="s">
        <v>37</v>
      </c>
      <c r="H33" s="63"/>
      <c r="I33" s="63"/>
      <c r="J33">
        <v>1129.05</v>
      </c>
      <c r="L33" s="4"/>
    </row>
    <row r="34" spans="2:12" x14ac:dyDescent="0.25">
      <c r="B34" s="61" t="s">
        <v>14</v>
      </c>
      <c r="C34" s="63"/>
      <c r="D34" s="63"/>
      <c r="E34" s="4" t="s">
        <v>515</v>
      </c>
      <c r="G34" s="61" t="s">
        <v>14</v>
      </c>
      <c r="H34" s="63"/>
      <c r="I34" s="63"/>
      <c r="J34">
        <v>1300</v>
      </c>
      <c r="L34" s="4"/>
    </row>
    <row r="35" spans="2:12" x14ac:dyDescent="0.25">
      <c r="B35" s="19"/>
      <c r="C35" s="20"/>
      <c r="D35" s="20"/>
      <c r="E35" s="11"/>
      <c r="G35" s="9" t="s">
        <v>18</v>
      </c>
      <c r="H35" s="83" t="s">
        <v>20</v>
      </c>
      <c r="I35" s="83"/>
      <c r="J35" s="83"/>
      <c r="K35" s="83"/>
      <c r="L35" s="84"/>
    </row>
    <row r="36" spans="2:12" x14ac:dyDescent="0.25">
      <c r="B36" s="67" t="s">
        <v>7</v>
      </c>
      <c r="C36" s="68"/>
      <c r="D36" s="68"/>
      <c r="E36" s="69"/>
      <c r="G36" s="5" t="s">
        <v>70</v>
      </c>
      <c r="I36" s="82" t="s">
        <v>85</v>
      </c>
      <c r="J36" s="82"/>
      <c r="K36" s="82" t="s">
        <v>71</v>
      </c>
      <c r="L36" s="85"/>
    </row>
    <row r="37" spans="2:12" x14ac:dyDescent="0.25">
      <c r="B37" s="5" t="s">
        <v>9</v>
      </c>
      <c r="C37" t="s">
        <v>10</v>
      </c>
      <c r="D37" t="s">
        <v>11</v>
      </c>
      <c r="E37" s="4" t="s">
        <v>12</v>
      </c>
      <c r="G37" s="5" t="s">
        <v>16</v>
      </c>
      <c r="H37" t="s">
        <v>12</v>
      </c>
      <c r="I37" t="s">
        <v>17</v>
      </c>
      <c r="J37" t="s">
        <v>19</v>
      </c>
      <c r="K37" t="s">
        <v>17</v>
      </c>
      <c r="L37" s="4" t="s">
        <v>19</v>
      </c>
    </row>
    <row r="38" spans="2:12" x14ac:dyDescent="0.25">
      <c r="B38" s="75" t="s">
        <v>517</v>
      </c>
      <c r="C38" s="37" t="s">
        <v>563</v>
      </c>
      <c r="D38">
        <v>1.3</v>
      </c>
      <c r="E38" s="4" t="s">
        <v>546</v>
      </c>
      <c r="G38" s="5" t="s">
        <v>38</v>
      </c>
      <c r="H38" t="s">
        <v>39</v>
      </c>
      <c r="I38">
        <v>83108.160999999993</v>
      </c>
      <c r="J38">
        <f>I38/$J$33</f>
        <v>73.608928745405422</v>
      </c>
      <c r="K38">
        <v>94710.562999999995</v>
      </c>
      <c r="L38" s="4">
        <f>K38/$J$33</f>
        <v>83.885180461449892</v>
      </c>
    </row>
    <row r="39" spans="2:12" x14ac:dyDescent="0.25">
      <c r="B39" s="75"/>
      <c r="C39" t="s">
        <v>523</v>
      </c>
      <c r="D39">
        <v>103.8350513614139</v>
      </c>
      <c r="E39" s="4" t="s">
        <v>22</v>
      </c>
      <c r="G39" s="5" t="s">
        <v>40</v>
      </c>
      <c r="H39" t="s">
        <v>41</v>
      </c>
      <c r="I39">
        <v>3.7540276999999997E-2</v>
      </c>
      <c r="J39">
        <f t="shared" ref="J39:J55" si="2">I39/$J$33</f>
        <v>3.3249437137416413E-5</v>
      </c>
      <c r="K39">
        <v>4.2293604999999998E-2</v>
      </c>
      <c r="L39" s="4">
        <f t="shared" ref="L39:L55" si="3">K39/$J$33</f>
        <v>3.7459461494176521E-5</v>
      </c>
    </row>
    <row r="40" spans="2:12" x14ac:dyDescent="0.25">
      <c r="B40" s="75"/>
      <c r="C40" t="s">
        <v>524</v>
      </c>
      <c r="D40">
        <v>4.7939973310007631E-6</v>
      </c>
      <c r="E40" s="4" t="s">
        <v>150</v>
      </c>
      <c r="G40" s="5" t="s">
        <v>42</v>
      </c>
      <c r="H40" t="s">
        <v>43</v>
      </c>
      <c r="I40">
        <v>6389.1509999999998</v>
      </c>
      <c r="J40">
        <f t="shared" si="2"/>
        <v>5.6588733891324567</v>
      </c>
      <c r="K40">
        <v>7355.3573999999999</v>
      </c>
      <c r="L40" s="4">
        <f t="shared" si="3"/>
        <v>6.5146427527567425</v>
      </c>
    </row>
    <row r="41" spans="2:12" x14ac:dyDescent="0.25">
      <c r="B41" s="75"/>
      <c r="C41" t="s">
        <v>525</v>
      </c>
      <c r="D41">
        <v>1046.7243080787691</v>
      </c>
      <c r="E41" s="4" t="s">
        <v>22</v>
      </c>
      <c r="G41" s="5" t="s">
        <v>44</v>
      </c>
      <c r="H41" t="s">
        <v>45</v>
      </c>
      <c r="I41">
        <v>276.55399</v>
      </c>
      <c r="J41">
        <f t="shared" si="2"/>
        <v>0.24494397059474782</v>
      </c>
      <c r="K41">
        <v>306.62344000000002</v>
      </c>
      <c r="L41" s="4">
        <f t="shared" si="3"/>
        <v>0.27157649351224483</v>
      </c>
    </row>
    <row r="42" spans="2:12" x14ac:dyDescent="0.25">
      <c r="B42" s="75"/>
      <c r="C42" t="s">
        <v>481</v>
      </c>
      <c r="D42">
        <v>103.8350513614139</v>
      </c>
      <c r="E42" s="4" t="s">
        <v>22</v>
      </c>
      <c r="G42" s="5" t="s">
        <v>46</v>
      </c>
      <c r="H42" t="s">
        <v>47</v>
      </c>
      <c r="I42">
        <v>402.68894999999998</v>
      </c>
      <c r="J42">
        <f t="shared" si="2"/>
        <v>0.35666175102962666</v>
      </c>
      <c r="K42">
        <v>432.91930000000002</v>
      </c>
      <c r="L42" s="4">
        <f t="shared" si="3"/>
        <v>0.38343678313626506</v>
      </c>
    </row>
    <row r="43" spans="2:12" x14ac:dyDescent="0.25">
      <c r="B43" s="75"/>
      <c r="C43" t="s">
        <v>79</v>
      </c>
      <c r="D43">
        <v>1046.7243080787691</v>
      </c>
      <c r="E43" s="4" t="s">
        <v>22</v>
      </c>
      <c r="G43" s="5" t="s">
        <v>48</v>
      </c>
      <c r="H43" t="s">
        <v>45</v>
      </c>
      <c r="I43">
        <v>284.01348999999999</v>
      </c>
      <c r="J43">
        <f t="shared" si="2"/>
        <v>0.2515508524866038</v>
      </c>
      <c r="K43">
        <v>314.80252000000002</v>
      </c>
      <c r="L43" s="4">
        <f t="shared" si="3"/>
        <v>0.27882070767459372</v>
      </c>
    </row>
    <row r="44" spans="2:12" x14ac:dyDescent="0.25">
      <c r="B44" s="75"/>
      <c r="C44" t="s">
        <v>526</v>
      </c>
      <c r="D44">
        <v>5756.9836944332301</v>
      </c>
      <c r="E44" s="4" t="s">
        <v>426</v>
      </c>
      <c r="G44" s="5" t="s">
        <v>49</v>
      </c>
      <c r="H44" t="s">
        <v>50</v>
      </c>
      <c r="I44">
        <v>1386.88</v>
      </c>
      <c r="J44">
        <f t="shared" si="2"/>
        <v>1.2283601257694523</v>
      </c>
      <c r="K44">
        <v>1444.5817999999999</v>
      </c>
      <c r="L44" s="4">
        <f t="shared" si="3"/>
        <v>1.279466631238652</v>
      </c>
    </row>
    <row r="45" spans="2:12" x14ac:dyDescent="0.25">
      <c r="B45" s="75"/>
      <c r="C45" t="s">
        <v>527</v>
      </c>
      <c r="D45">
        <v>5756.9836944332301</v>
      </c>
      <c r="E45" s="4" t="s">
        <v>426</v>
      </c>
      <c r="G45" s="5" t="s">
        <v>51</v>
      </c>
      <c r="H45" t="s">
        <v>52</v>
      </c>
      <c r="I45">
        <v>121.68607</v>
      </c>
      <c r="J45">
        <f t="shared" si="2"/>
        <v>0.10777739692661972</v>
      </c>
      <c r="K45">
        <v>132.64882</v>
      </c>
      <c r="L45" s="4">
        <f t="shared" si="3"/>
        <v>0.11748710863115008</v>
      </c>
    </row>
    <row r="46" spans="2:12" x14ac:dyDescent="0.25">
      <c r="B46" s="75" t="s">
        <v>521</v>
      </c>
      <c r="C46" t="s">
        <v>524</v>
      </c>
      <c r="D46">
        <v>1.0316196788229489E-6</v>
      </c>
      <c r="E46" s="4" t="s">
        <v>150</v>
      </c>
      <c r="G46" s="5" t="s">
        <v>53</v>
      </c>
      <c r="H46" t="s">
        <v>54</v>
      </c>
      <c r="I46">
        <v>9.0652512000000005</v>
      </c>
      <c r="J46">
        <f t="shared" si="2"/>
        <v>8.0290963199149742E-3</v>
      </c>
      <c r="K46">
        <v>11.291845</v>
      </c>
      <c r="L46" s="4">
        <f t="shared" si="3"/>
        <v>1.0001191266994376E-2</v>
      </c>
    </row>
    <row r="47" spans="2:12" x14ac:dyDescent="0.25">
      <c r="B47" s="75"/>
      <c r="C47" t="s">
        <v>525</v>
      </c>
      <c r="D47">
        <v>2252.4447135872247</v>
      </c>
      <c r="E47" s="4" t="s">
        <v>22</v>
      </c>
      <c r="G47" s="5" t="s">
        <v>55</v>
      </c>
      <c r="H47" t="s">
        <v>56</v>
      </c>
      <c r="I47">
        <v>2863755.1</v>
      </c>
      <c r="J47">
        <f t="shared" si="2"/>
        <v>2536.4289446880121</v>
      </c>
      <c r="K47">
        <v>2903297.2</v>
      </c>
      <c r="L47" s="4">
        <f t="shared" si="3"/>
        <v>2571.4513971923302</v>
      </c>
    </row>
    <row r="48" spans="2:12" x14ac:dyDescent="0.25">
      <c r="B48" s="75"/>
      <c r="C48" t="s">
        <v>528</v>
      </c>
      <c r="D48">
        <v>123.88445924729736</v>
      </c>
      <c r="E48" s="4" t="s">
        <v>22</v>
      </c>
      <c r="G48" s="5" t="s">
        <v>57</v>
      </c>
      <c r="H48" t="s">
        <v>56</v>
      </c>
      <c r="I48">
        <v>68209.679000000004</v>
      </c>
      <c r="J48">
        <f t="shared" si="2"/>
        <v>60.41333776183518</v>
      </c>
      <c r="K48">
        <v>69527.392000000007</v>
      </c>
      <c r="L48" s="4">
        <f t="shared" si="3"/>
        <v>61.580436650281221</v>
      </c>
    </row>
    <row r="49" spans="2:12" x14ac:dyDescent="0.25">
      <c r="B49" s="75"/>
      <c r="C49" t="s">
        <v>79</v>
      </c>
      <c r="D49">
        <v>2252.4447135872247</v>
      </c>
      <c r="E49" s="4" t="s">
        <v>22</v>
      </c>
      <c r="G49" s="5" t="s">
        <v>58</v>
      </c>
      <c r="H49" t="s">
        <v>56</v>
      </c>
      <c r="I49">
        <v>86243.07</v>
      </c>
      <c r="J49">
        <f t="shared" si="2"/>
        <v>76.385518798990304</v>
      </c>
      <c r="K49">
        <v>87934.94</v>
      </c>
      <c r="L49" s="4">
        <f t="shared" si="3"/>
        <v>77.884008679863612</v>
      </c>
    </row>
    <row r="50" spans="2:12" x14ac:dyDescent="0.25">
      <c r="B50" s="75"/>
      <c r="C50" t="s">
        <v>526</v>
      </c>
      <c r="D50">
        <v>709.52008477997583</v>
      </c>
      <c r="E50" s="4" t="s">
        <v>426</v>
      </c>
      <c r="G50" s="5" t="s">
        <v>59</v>
      </c>
      <c r="H50" t="s">
        <v>56</v>
      </c>
      <c r="I50">
        <v>71221.922999999995</v>
      </c>
      <c r="J50">
        <f t="shared" si="2"/>
        <v>63.081283379832598</v>
      </c>
      <c r="K50">
        <v>73817.337</v>
      </c>
      <c r="L50" s="4">
        <f t="shared" si="3"/>
        <v>65.380042513617639</v>
      </c>
    </row>
    <row r="51" spans="2:12" ht="15.75" thickBot="1" x14ac:dyDescent="0.3">
      <c r="B51" s="91"/>
      <c r="C51" s="7" t="s">
        <v>527</v>
      </c>
      <c r="D51" s="7">
        <v>709.52008477997583</v>
      </c>
      <c r="E51" s="8" t="s">
        <v>426</v>
      </c>
      <c r="G51" s="5" t="s">
        <v>60</v>
      </c>
      <c r="H51" t="s">
        <v>56</v>
      </c>
      <c r="I51">
        <v>996145.26</v>
      </c>
      <c r="J51">
        <f t="shared" si="2"/>
        <v>882.28622293078251</v>
      </c>
      <c r="K51">
        <v>1020758.5</v>
      </c>
      <c r="L51" s="4">
        <f t="shared" si="3"/>
        <v>904.08617864576422</v>
      </c>
    </row>
    <row r="52" spans="2:12" x14ac:dyDescent="0.25">
      <c r="G52" s="5" t="s">
        <v>61</v>
      </c>
      <c r="H52" t="s">
        <v>62</v>
      </c>
      <c r="I52">
        <v>4429.6383999999998</v>
      </c>
      <c r="J52">
        <f t="shared" si="2"/>
        <v>3.923332359062929</v>
      </c>
      <c r="K52">
        <v>4735.4364999999998</v>
      </c>
      <c r="L52" s="4">
        <f t="shared" si="3"/>
        <v>4.1941778486338075</v>
      </c>
    </row>
    <row r="53" spans="2:12" x14ac:dyDescent="0.25">
      <c r="G53" s="5" t="s">
        <v>63</v>
      </c>
      <c r="H53" t="s">
        <v>64</v>
      </c>
      <c r="I53">
        <v>3050.473</v>
      </c>
      <c r="J53">
        <f t="shared" si="2"/>
        <v>2.701805057349099</v>
      </c>
      <c r="K53">
        <v>3102.1668</v>
      </c>
      <c r="L53" s="4">
        <f t="shared" si="3"/>
        <v>2.7475902750099643</v>
      </c>
    </row>
    <row r="54" spans="2:12" x14ac:dyDescent="0.25">
      <c r="G54" s="5" t="s">
        <v>65</v>
      </c>
      <c r="H54" t="s">
        <v>66</v>
      </c>
      <c r="I54">
        <v>22124.737000000001</v>
      </c>
      <c r="J54">
        <f t="shared" si="2"/>
        <v>19.595887693193394</v>
      </c>
      <c r="K54">
        <v>24721.484</v>
      </c>
      <c r="L54" s="4">
        <f t="shared" si="3"/>
        <v>21.895827465568399</v>
      </c>
    </row>
    <row r="55" spans="2:12" ht="15.75" thickBot="1" x14ac:dyDescent="0.3">
      <c r="G55" s="6" t="s">
        <v>67</v>
      </c>
      <c r="H55" s="7" t="s">
        <v>68</v>
      </c>
      <c r="I55" s="7">
        <v>831.11203</v>
      </c>
      <c r="J55" s="7">
        <f t="shared" si="2"/>
        <v>0.73611623045923569</v>
      </c>
      <c r="K55" s="7">
        <v>941.32390999999996</v>
      </c>
      <c r="L55" s="8">
        <f t="shared" si="3"/>
        <v>0.83373093308533719</v>
      </c>
    </row>
    <row r="57" spans="2:12" ht="15.75" thickBot="1" x14ac:dyDescent="0.3"/>
    <row r="58" spans="2:12" x14ac:dyDescent="0.25">
      <c r="B58" s="76" t="s">
        <v>109</v>
      </c>
      <c r="C58" s="77"/>
      <c r="D58" s="77"/>
      <c r="E58" s="77"/>
      <c r="F58" s="78"/>
    </row>
    <row r="59" spans="2:12" x14ac:dyDescent="0.25">
      <c r="B59" s="86" t="s">
        <v>562</v>
      </c>
      <c r="C59" s="87"/>
      <c r="D59" s="38"/>
      <c r="E59" s="38"/>
      <c r="F59" s="13"/>
    </row>
    <row r="60" spans="2:12" x14ac:dyDescent="0.25">
      <c r="B60" s="5" t="s">
        <v>121</v>
      </c>
      <c r="C60" s="17" t="s">
        <v>7</v>
      </c>
      <c r="D60" t="s">
        <v>118</v>
      </c>
      <c r="E60" t="s">
        <v>117</v>
      </c>
      <c r="F60" s="4" t="s">
        <v>12</v>
      </c>
    </row>
    <row r="61" spans="2:12" x14ac:dyDescent="0.25">
      <c r="B61" s="5" t="s">
        <v>118</v>
      </c>
      <c r="C61" s="37" t="s">
        <v>563</v>
      </c>
      <c r="D61">
        <v>1.3</v>
      </c>
      <c r="E61">
        <v>0</v>
      </c>
      <c r="F61" s="4" t="s">
        <v>546</v>
      </c>
    </row>
    <row r="62" spans="2:12" x14ac:dyDescent="0.25">
      <c r="B62" s="5" t="s">
        <v>117</v>
      </c>
      <c r="C62" s="37" t="s">
        <v>518</v>
      </c>
      <c r="D62">
        <v>0</v>
      </c>
      <c r="E62" s="56">
        <v>263.54399999999998</v>
      </c>
      <c r="F62" s="39" t="s">
        <v>22</v>
      </c>
    </row>
    <row r="63" spans="2:12" x14ac:dyDescent="0.25">
      <c r="B63" s="5" t="s">
        <v>117</v>
      </c>
      <c r="C63" s="37" t="s">
        <v>519</v>
      </c>
      <c r="D63">
        <v>0</v>
      </c>
      <c r="E63" s="56">
        <v>131.77199999999999</v>
      </c>
      <c r="F63" s="39" t="s">
        <v>22</v>
      </c>
    </row>
    <row r="64" spans="2:12" x14ac:dyDescent="0.25">
      <c r="B64" s="5" t="s">
        <v>117</v>
      </c>
      <c r="C64" s="37" t="s">
        <v>520</v>
      </c>
      <c r="D64">
        <v>0</v>
      </c>
      <c r="E64" s="56">
        <v>37.555019999999999</v>
      </c>
      <c r="F64" s="39" t="s">
        <v>22</v>
      </c>
    </row>
    <row r="65" spans="2:105" x14ac:dyDescent="0.25">
      <c r="B65" s="5" t="s">
        <v>116</v>
      </c>
      <c r="C65" t="s">
        <v>523</v>
      </c>
      <c r="D65">
        <v>103.8350513614139</v>
      </c>
      <c r="E65" s="56">
        <v>5.0964686385861047</v>
      </c>
      <c r="F65" s="4" t="s">
        <v>22</v>
      </c>
    </row>
    <row r="66" spans="2:105" x14ac:dyDescent="0.25">
      <c r="B66" s="5" t="s">
        <v>116</v>
      </c>
      <c r="C66" t="s">
        <v>524</v>
      </c>
      <c r="D66">
        <v>5.8256170098237124E-6</v>
      </c>
      <c r="E66">
        <v>2.8593499017628859E-7</v>
      </c>
      <c r="F66" s="4" t="s">
        <v>150</v>
      </c>
    </row>
    <row r="67" spans="2:105" x14ac:dyDescent="0.25">
      <c r="B67" s="5" t="s">
        <v>116</v>
      </c>
      <c r="C67" t="s">
        <v>525</v>
      </c>
      <c r="D67">
        <v>3299.1690216659936</v>
      </c>
      <c r="E67">
        <v>161.93097833400623</v>
      </c>
      <c r="F67" s="4" t="s">
        <v>22</v>
      </c>
    </row>
    <row r="68" spans="2:105" x14ac:dyDescent="0.25">
      <c r="B68" s="5" t="s">
        <v>116</v>
      </c>
      <c r="C68" t="s">
        <v>481</v>
      </c>
      <c r="D68">
        <v>103.8350513614139</v>
      </c>
      <c r="E68" s="56">
        <v>5.0964686385861047</v>
      </c>
      <c r="F68" s="4" t="s">
        <v>22</v>
      </c>
    </row>
    <row r="69" spans="2:105" x14ac:dyDescent="0.25">
      <c r="B69" s="5" t="s">
        <v>116</v>
      </c>
      <c r="C69" t="s">
        <v>528</v>
      </c>
      <c r="D69">
        <v>123.88445924729736</v>
      </c>
      <c r="E69">
        <v>6.0805407527026434</v>
      </c>
      <c r="F69" s="4" t="s">
        <v>22</v>
      </c>
    </row>
    <row r="70" spans="2:105" x14ac:dyDescent="0.25">
      <c r="B70" s="5" t="s">
        <v>116</v>
      </c>
      <c r="C70" t="s">
        <v>79</v>
      </c>
      <c r="D70">
        <v>3299.1690216659936</v>
      </c>
      <c r="E70">
        <v>161.93097833400623</v>
      </c>
      <c r="F70" s="4" t="s">
        <v>22</v>
      </c>
    </row>
    <row r="71" spans="2:105" x14ac:dyDescent="0.25">
      <c r="B71" s="5" t="s">
        <v>116</v>
      </c>
      <c r="C71" t="s">
        <v>526</v>
      </c>
      <c r="D71">
        <v>6466.5037792132061</v>
      </c>
      <c r="E71">
        <v>317.39122078679418</v>
      </c>
      <c r="F71" s="4" t="s">
        <v>426</v>
      </c>
    </row>
    <row r="72" spans="2:105" x14ac:dyDescent="0.25">
      <c r="B72" s="5" t="s">
        <v>116</v>
      </c>
      <c r="C72" t="s">
        <v>527</v>
      </c>
      <c r="D72">
        <v>6466.5037792132061</v>
      </c>
      <c r="E72">
        <v>317.39122078679418</v>
      </c>
      <c r="F72" s="4" t="s">
        <v>426</v>
      </c>
    </row>
    <row r="73" spans="2:105" x14ac:dyDescent="0.25">
      <c r="B73" s="5" t="s">
        <v>117</v>
      </c>
      <c r="C73" t="s">
        <v>529</v>
      </c>
      <c r="D73">
        <v>0</v>
      </c>
      <c r="E73">
        <v>25.2563</v>
      </c>
      <c r="F73" s="4" t="s">
        <v>22</v>
      </c>
    </row>
    <row r="74" spans="2:105" ht="15.75" thickBot="1" x14ac:dyDescent="0.3">
      <c r="B74" s="6" t="s">
        <v>117</v>
      </c>
      <c r="C74" s="58" t="s">
        <v>487</v>
      </c>
      <c r="D74" s="7">
        <v>0</v>
      </c>
      <c r="E74" s="7">
        <v>2.6</v>
      </c>
      <c r="F74" s="8" t="s">
        <v>150</v>
      </c>
    </row>
    <row r="76" spans="2:105" ht="15.75" thickBot="1" x14ac:dyDescent="0.3"/>
    <row r="77" spans="2:105" x14ac:dyDescent="0.25">
      <c r="C77" s="88" t="s">
        <v>530</v>
      </c>
      <c r="D77" s="89"/>
      <c r="E77" s="90"/>
      <c r="G77" s="88" t="s">
        <v>564</v>
      </c>
      <c r="H77" s="89"/>
      <c r="I77" s="90"/>
      <c r="K77" s="88" t="s">
        <v>531</v>
      </c>
      <c r="L77" s="89"/>
      <c r="M77" s="90"/>
      <c r="O77" s="88" t="s">
        <v>532</v>
      </c>
      <c r="P77" s="89"/>
      <c r="Q77" s="90"/>
    </row>
    <row r="78" spans="2:105" x14ac:dyDescent="0.25">
      <c r="C78" s="67" t="s">
        <v>7</v>
      </c>
      <c r="D78" s="68"/>
      <c r="E78" s="69"/>
      <c r="G78" s="67" t="s">
        <v>7</v>
      </c>
      <c r="H78" s="68"/>
      <c r="I78" s="69"/>
      <c r="K78" s="67" t="s">
        <v>7</v>
      </c>
      <c r="L78" s="68"/>
      <c r="M78" s="69"/>
      <c r="O78" s="67" t="s">
        <v>7</v>
      </c>
      <c r="P78" s="68"/>
      <c r="Q78" s="69"/>
      <c r="CM78" s="17"/>
      <c r="CN78" s="17"/>
      <c r="CO78" s="17"/>
      <c r="CQ78" s="17"/>
      <c r="CR78" s="17"/>
      <c r="CS78" s="17"/>
      <c r="CU78" s="17"/>
      <c r="CV78" s="17"/>
      <c r="CW78" s="17"/>
      <c r="CY78" s="17"/>
      <c r="CZ78" s="17"/>
      <c r="DA78" s="17"/>
    </row>
    <row r="79" spans="2:105" x14ac:dyDescent="0.25">
      <c r="C79" s="5" t="s">
        <v>10</v>
      </c>
      <c r="D79" t="s">
        <v>11</v>
      </c>
      <c r="E79" s="4" t="s">
        <v>12</v>
      </c>
      <c r="G79" s="5" t="s">
        <v>10</v>
      </c>
      <c r="H79" t="s">
        <v>11</v>
      </c>
      <c r="I79" s="4" t="s">
        <v>12</v>
      </c>
      <c r="K79" s="5" t="s">
        <v>10</v>
      </c>
      <c r="L79" t="s">
        <v>11</v>
      </c>
      <c r="M79" s="4" t="s">
        <v>12</v>
      </c>
      <c r="O79" s="5" t="s">
        <v>10</v>
      </c>
      <c r="P79" t="s">
        <v>11</v>
      </c>
      <c r="Q79" s="4" t="s">
        <v>12</v>
      </c>
    </row>
    <row r="80" spans="2:105" x14ac:dyDescent="0.25">
      <c r="C80" s="5" t="s">
        <v>534</v>
      </c>
      <c r="D80">
        <v>0.17</v>
      </c>
      <c r="E80" s="4" t="s">
        <v>22</v>
      </c>
      <c r="G80" s="5" t="s">
        <v>547</v>
      </c>
      <c r="H80">
        <v>2031.28</v>
      </c>
      <c r="I80" s="4" t="s">
        <v>22</v>
      </c>
      <c r="K80" s="5" t="s">
        <v>555</v>
      </c>
      <c r="L80">
        <v>9.0999999999999998E-2</v>
      </c>
      <c r="M80" s="4" t="s">
        <v>22</v>
      </c>
      <c r="O80" s="5" t="s">
        <v>555</v>
      </c>
      <c r="P80">
        <v>3.1E-2</v>
      </c>
      <c r="Q80" s="4" t="s">
        <v>22</v>
      </c>
    </row>
    <row r="81" spans="3:17" x14ac:dyDescent="0.25">
      <c r="C81" s="5" t="s">
        <v>533</v>
      </c>
      <c r="D81">
        <v>0.25</v>
      </c>
      <c r="E81" s="4" t="s">
        <v>22</v>
      </c>
      <c r="G81" s="5" t="s">
        <v>538</v>
      </c>
      <c r="H81">
        <v>956.61</v>
      </c>
      <c r="I81" s="4" t="s">
        <v>22</v>
      </c>
      <c r="K81" s="5" t="s">
        <v>556</v>
      </c>
      <c r="L81" s="12">
        <v>1.4000000000000001E-10</v>
      </c>
      <c r="M81" s="4" t="s">
        <v>86</v>
      </c>
      <c r="O81" s="5" t="s">
        <v>223</v>
      </c>
      <c r="P81">
        <v>0.97</v>
      </c>
      <c r="Q81" s="4" t="s">
        <v>22</v>
      </c>
    </row>
    <row r="82" spans="3:17" x14ac:dyDescent="0.25">
      <c r="C82" s="5" t="s">
        <v>78</v>
      </c>
      <c r="D82">
        <v>0.57999999999999996</v>
      </c>
      <c r="E82" s="4" t="s">
        <v>22</v>
      </c>
      <c r="G82" s="5" t="s">
        <v>548</v>
      </c>
      <c r="H82">
        <v>61.84</v>
      </c>
      <c r="I82" s="4" t="s">
        <v>22</v>
      </c>
      <c r="K82" s="5" t="s">
        <v>394</v>
      </c>
      <c r="L82">
        <v>0.91</v>
      </c>
      <c r="M82" s="4" t="s">
        <v>22</v>
      </c>
      <c r="O82" s="5" t="s">
        <v>397</v>
      </c>
      <c r="P82">
        <v>3.1E-2</v>
      </c>
      <c r="Q82" s="4" t="s">
        <v>22</v>
      </c>
    </row>
    <row r="83" spans="3:17" x14ac:dyDescent="0.25">
      <c r="C83" s="5" t="s">
        <v>523</v>
      </c>
      <c r="D83">
        <v>0.17</v>
      </c>
      <c r="E83" s="4" t="s">
        <v>22</v>
      </c>
      <c r="G83" s="5" t="s">
        <v>533</v>
      </c>
      <c r="H83">
        <f>123.051+358.78</f>
        <v>481.83099999999996</v>
      </c>
      <c r="I83" s="4" t="s">
        <v>22</v>
      </c>
      <c r="K83" s="5" t="s">
        <v>397</v>
      </c>
      <c r="L83">
        <v>9.0999999999999998E-2</v>
      </c>
      <c r="M83" s="4" t="s">
        <v>22</v>
      </c>
      <c r="O83" s="5" t="s">
        <v>224</v>
      </c>
      <c r="P83" s="12">
        <v>4.3999999999999998E-10</v>
      </c>
      <c r="Q83" s="4" t="s">
        <v>86</v>
      </c>
    </row>
    <row r="84" spans="3:17" x14ac:dyDescent="0.25">
      <c r="C84" s="5" t="s">
        <v>524</v>
      </c>
      <c r="D84">
        <f>3.8*10^(-10)</f>
        <v>3.7999999999999998E-10</v>
      </c>
      <c r="E84" s="4" t="s">
        <v>86</v>
      </c>
      <c r="G84" s="5" t="s">
        <v>540</v>
      </c>
      <c r="H84">
        <v>3.75</v>
      </c>
      <c r="I84" s="4" t="s">
        <v>22</v>
      </c>
      <c r="K84" s="5" t="s">
        <v>557</v>
      </c>
      <c r="L84">
        <v>0.91</v>
      </c>
      <c r="M84" s="4" t="s">
        <v>22</v>
      </c>
      <c r="O84" s="5" t="s">
        <v>560</v>
      </c>
      <c r="P84">
        <v>0.97</v>
      </c>
      <c r="Q84" s="4" t="s">
        <v>22</v>
      </c>
    </row>
    <row r="85" spans="3:17" x14ac:dyDescent="0.25">
      <c r="C85" s="5" t="s">
        <v>535</v>
      </c>
      <c r="D85">
        <v>0.25</v>
      </c>
      <c r="E85" s="4" t="s">
        <v>22</v>
      </c>
      <c r="G85" s="5" t="s">
        <v>539</v>
      </c>
      <c r="H85">
        <v>297.29000000000002</v>
      </c>
      <c r="I85" s="4" t="s">
        <v>22</v>
      </c>
      <c r="K85" s="5" t="s">
        <v>558</v>
      </c>
      <c r="L85" s="12">
        <v>6.7000000000000001E-11</v>
      </c>
      <c r="M85" s="4" t="s">
        <v>86</v>
      </c>
      <c r="O85" s="5" t="s">
        <v>558</v>
      </c>
      <c r="P85" s="12">
        <v>2.3000000000000001E-11</v>
      </c>
      <c r="Q85" s="4" t="s">
        <v>86</v>
      </c>
    </row>
    <row r="86" spans="3:17" x14ac:dyDescent="0.25">
      <c r="C86" s="5" t="s">
        <v>536</v>
      </c>
      <c r="D86">
        <v>0.56999999999999995</v>
      </c>
      <c r="E86" s="4" t="s">
        <v>22</v>
      </c>
      <c r="G86" s="5" t="s">
        <v>549</v>
      </c>
      <c r="H86">
        <v>240.98</v>
      </c>
      <c r="I86" s="4" t="s">
        <v>22</v>
      </c>
      <c r="K86" s="5" t="s">
        <v>526</v>
      </c>
      <c r="L86">
        <v>0.15</v>
      </c>
      <c r="M86" s="4" t="s">
        <v>426</v>
      </c>
      <c r="O86" s="5" t="s">
        <v>526</v>
      </c>
      <c r="P86">
        <v>0.15</v>
      </c>
      <c r="Q86" s="4" t="s">
        <v>426</v>
      </c>
    </row>
    <row r="87" spans="3:17" x14ac:dyDescent="0.25">
      <c r="C87" s="5" t="s">
        <v>537</v>
      </c>
      <c r="D87">
        <f>1.3*10^(-10)</f>
        <v>1.3000000000000002E-10</v>
      </c>
      <c r="E87" s="4" t="s">
        <v>86</v>
      </c>
      <c r="G87" s="5" t="s">
        <v>481</v>
      </c>
      <c r="H87">
        <f>8.91928+27.69</f>
        <v>36.609279999999998</v>
      </c>
      <c r="I87" s="4" t="s">
        <v>22</v>
      </c>
      <c r="K87" s="5" t="s">
        <v>527</v>
      </c>
      <c r="L87">
        <v>0.15</v>
      </c>
      <c r="M87" s="4" t="s">
        <v>426</v>
      </c>
      <c r="O87" s="5" t="s">
        <v>527</v>
      </c>
      <c r="P87" s="31">
        <v>0.15</v>
      </c>
      <c r="Q87" s="4" t="s">
        <v>426</v>
      </c>
    </row>
    <row r="88" spans="3:17" x14ac:dyDescent="0.25">
      <c r="C88" s="5" t="s">
        <v>526</v>
      </c>
      <c r="D88">
        <v>0.14499999999999999</v>
      </c>
      <c r="E88" s="4" t="s">
        <v>426</v>
      </c>
      <c r="G88" s="5" t="s">
        <v>550</v>
      </c>
      <c r="H88">
        <v>4.9000000000000004</v>
      </c>
      <c r="I88" s="4" t="s">
        <v>22</v>
      </c>
      <c r="K88" s="5"/>
      <c r="M88" s="4"/>
      <c r="O88" s="5"/>
      <c r="P88" s="12"/>
      <c r="Q88" s="4"/>
    </row>
    <row r="89" spans="3:17" x14ac:dyDescent="0.25">
      <c r="C89" s="5" t="s">
        <v>527</v>
      </c>
      <c r="D89">
        <v>0.14499999999999999</v>
      </c>
      <c r="E89" s="4" t="s">
        <v>426</v>
      </c>
      <c r="G89" s="5" t="s">
        <v>76</v>
      </c>
      <c r="H89">
        <v>60</v>
      </c>
      <c r="I89" s="4" t="s">
        <v>440</v>
      </c>
      <c r="K89" s="67" t="s">
        <v>544</v>
      </c>
      <c r="L89" s="68"/>
      <c r="M89" s="69"/>
      <c r="O89" s="67" t="s">
        <v>544</v>
      </c>
      <c r="P89" s="68"/>
      <c r="Q89" s="69"/>
    </row>
    <row r="90" spans="3:17" ht="15.75" thickBot="1" x14ac:dyDescent="0.3">
      <c r="C90" s="5"/>
      <c r="E90" s="4"/>
      <c r="G90" s="5" t="s">
        <v>445</v>
      </c>
      <c r="H90">
        <v>42.32</v>
      </c>
      <c r="I90" s="4" t="s">
        <v>22</v>
      </c>
      <c r="K90" s="22" t="s">
        <v>559</v>
      </c>
      <c r="L90" s="23">
        <v>1</v>
      </c>
      <c r="M90" s="24" t="s">
        <v>22</v>
      </c>
      <c r="O90" s="22" t="s">
        <v>520</v>
      </c>
      <c r="P90" s="23">
        <v>1</v>
      </c>
      <c r="Q90" s="24" t="s">
        <v>22</v>
      </c>
    </row>
    <row r="91" spans="3:17" x14ac:dyDescent="0.25">
      <c r="C91" s="92" t="s">
        <v>161</v>
      </c>
      <c r="D91" s="93"/>
      <c r="E91" s="94"/>
      <c r="G91" s="5" t="s">
        <v>78</v>
      </c>
      <c r="H91">
        <v>519.65</v>
      </c>
      <c r="I91" s="4" t="s">
        <v>22</v>
      </c>
    </row>
    <row r="92" spans="3:17" ht="15.75" thickBot="1" x14ac:dyDescent="0.3">
      <c r="C92" s="43" t="s">
        <v>518</v>
      </c>
      <c r="D92" s="44">
        <v>1</v>
      </c>
      <c r="E92" s="45" t="s">
        <v>22</v>
      </c>
      <c r="G92" s="5" t="s">
        <v>212</v>
      </c>
      <c r="H92">
        <v>25.33</v>
      </c>
      <c r="I92" s="4" t="s">
        <v>22</v>
      </c>
    </row>
    <row r="93" spans="3:17" x14ac:dyDescent="0.25">
      <c r="C93" s="42"/>
      <c r="D93" s="31"/>
      <c r="E93" s="31"/>
      <c r="G93" s="5"/>
      <c r="I93" s="4"/>
    </row>
    <row r="94" spans="3:17" x14ac:dyDescent="0.25">
      <c r="C94" s="42"/>
      <c r="D94" s="31"/>
      <c r="E94" s="31"/>
      <c r="G94" s="67" t="s">
        <v>544</v>
      </c>
      <c r="H94" s="68"/>
      <c r="I94" s="69"/>
      <c r="O94" s="17"/>
      <c r="P94" s="17"/>
      <c r="Q94" s="17"/>
    </row>
    <row r="95" spans="3:17" ht="15.75" thickBot="1" x14ac:dyDescent="0.3">
      <c r="C95" s="42"/>
      <c r="D95" s="31"/>
      <c r="E95" s="31"/>
      <c r="G95" s="22" t="s">
        <v>545</v>
      </c>
      <c r="H95" s="23">
        <v>1</v>
      </c>
      <c r="I95" s="24" t="s">
        <v>546</v>
      </c>
      <c r="O95" s="26"/>
      <c r="P95" s="26"/>
      <c r="Q95" s="26"/>
    </row>
    <row r="96" spans="3:17" x14ac:dyDescent="0.25">
      <c r="C96" s="42"/>
      <c r="D96" s="31"/>
      <c r="E96" s="31"/>
    </row>
    <row r="97" spans="2:9" x14ac:dyDescent="0.25">
      <c r="B97" t="s">
        <v>83</v>
      </c>
      <c r="C97" t="s">
        <v>541</v>
      </c>
      <c r="H97">
        <f>H92+H91+H90+SUM(H80:H88)</f>
        <v>4702.3902799999996</v>
      </c>
      <c r="I97">
        <f>H97*1.3</f>
        <v>6113.1073639999995</v>
      </c>
    </row>
    <row r="98" spans="2:9" x14ac:dyDescent="0.25">
      <c r="C98" t="s">
        <v>552</v>
      </c>
    </row>
    <row r="99" spans="2:9" x14ac:dyDescent="0.25">
      <c r="C99" t="s">
        <v>670</v>
      </c>
    </row>
    <row r="100" spans="2:9" x14ac:dyDescent="0.25">
      <c r="C100" t="s">
        <v>600</v>
      </c>
    </row>
    <row r="101" spans="2:9" x14ac:dyDescent="0.25">
      <c r="C101" t="s">
        <v>674</v>
      </c>
    </row>
  </sheetData>
  <mergeCells count="40">
    <mergeCell ref="K77:M77"/>
    <mergeCell ref="O77:Q77"/>
    <mergeCell ref="G94:I94"/>
    <mergeCell ref="C91:E91"/>
    <mergeCell ref="C78:E78"/>
    <mergeCell ref="G78:I78"/>
    <mergeCell ref="K78:M78"/>
    <mergeCell ref="O78:Q78"/>
    <mergeCell ref="K89:M89"/>
    <mergeCell ref="O89:Q89"/>
    <mergeCell ref="B58:F58"/>
    <mergeCell ref="B59:C59"/>
    <mergeCell ref="C77:E77"/>
    <mergeCell ref="G77:I77"/>
    <mergeCell ref="B46:B51"/>
    <mergeCell ref="B32:E32"/>
    <mergeCell ref="G32:L32"/>
    <mergeCell ref="B33:D33"/>
    <mergeCell ref="G33:I33"/>
    <mergeCell ref="B34:D34"/>
    <mergeCell ref="G34:I34"/>
    <mergeCell ref="H35:L35"/>
    <mergeCell ref="B36:E36"/>
    <mergeCell ref="I36:J36"/>
    <mergeCell ref="K36:L36"/>
    <mergeCell ref="B38:B45"/>
    <mergeCell ref="B23:B28"/>
    <mergeCell ref="B2:C2"/>
    <mergeCell ref="B6:E6"/>
    <mergeCell ref="G6:L6"/>
    <mergeCell ref="B7:D7"/>
    <mergeCell ref="G7:I7"/>
    <mergeCell ref="B8:D8"/>
    <mergeCell ref="G8:I8"/>
    <mergeCell ref="C3:C4"/>
    <mergeCell ref="H9:L9"/>
    <mergeCell ref="B10:E10"/>
    <mergeCell ref="I10:J10"/>
    <mergeCell ref="K10:L10"/>
    <mergeCell ref="B12:B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D7C68-8425-4D10-8556-6DC0F1405F30}">
  <dimension ref="B2:CW101"/>
  <sheetViews>
    <sheetView topLeftCell="A39" zoomScale="70" zoomScaleNormal="70" workbookViewId="0">
      <selection activeCell="H78" sqref="H78"/>
    </sheetView>
  </sheetViews>
  <sheetFormatPr defaultRowHeight="15" x14ac:dyDescent="0.25"/>
  <cols>
    <col min="2" max="2" width="15.7109375" customWidth="1"/>
    <col min="3" max="3" width="151.28515625" customWidth="1"/>
    <col min="5" max="5" width="17.42578125" customWidth="1"/>
    <col min="6" max="6" width="12" customWidth="1"/>
    <col min="7" max="7" width="36.85546875" customWidth="1"/>
    <col min="8" max="8" width="12.42578125" customWidth="1"/>
    <col min="9" max="9" width="13.85546875" customWidth="1"/>
    <col min="10" max="10" width="37.85546875" customWidth="1"/>
    <col min="11" max="11" width="42.28515625" customWidth="1"/>
    <col min="12" max="12" width="37.85546875" customWidth="1"/>
    <col min="16" max="16" width="12.140625" customWidth="1"/>
    <col min="24" max="24" width="12" customWidth="1"/>
    <col min="28" max="28" width="10.140625" customWidth="1"/>
    <col min="36" max="36" width="14" customWidth="1"/>
    <col min="40" max="40" width="12.42578125" customWidth="1"/>
    <col min="44" max="44" width="14" customWidth="1"/>
    <col min="48" max="48" width="11.85546875" customWidth="1"/>
    <col min="52" max="52" width="11.140625" customWidth="1"/>
    <col min="56" max="56" width="12.140625" customWidth="1"/>
  </cols>
  <sheetData>
    <row r="2" spans="2:12" x14ac:dyDescent="0.25">
      <c r="B2" s="82" t="s">
        <v>2</v>
      </c>
      <c r="C2" s="82"/>
      <c r="D2" s="1" t="s">
        <v>554</v>
      </c>
    </row>
    <row r="3" spans="2:12" x14ac:dyDescent="0.25">
      <c r="C3" s="82" t="s">
        <v>553</v>
      </c>
      <c r="D3" s="1" t="s">
        <v>603</v>
      </c>
    </row>
    <row r="4" spans="2:12" x14ac:dyDescent="0.25">
      <c r="C4" s="82"/>
      <c r="D4" s="1" t="s">
        <v>604</v>
      </c>
    </row>
    <row r="5" spans="2:12" x14ac:dyDescent="0.25">
      <c r="C5" s="82"/>
      <c r="D5" s="1" t="s">
        <v>602</v>
      </c>
    </row>
    <row r="6" spans="2:12" ht="15.75" thickBot="1" x14ac:dyDescent="0.3"/>
    <row r="7" spans="2:12" x14ac:dyDescent="0.25">
      <c r="B7" s="70" t="s">
        <v>0</v>
      </c>
      <c r="C7" s="71"/>
      <c r="D7" s="71"/>
      <c r="E7" s="72"/>
      <c r="G7" s="70" t="s">
        <v>15</v>
      </c>
      <c r="H7" s="71"/>
      <c r="I7" s="71"/>
      <c r="J7" s="71"/>
      <c r="K7" s="71"/>
      <c r="L7" s="72"/>
    </row>
    <row r="8" spans="2:12" x14ac:dyDescent="0.25">
      <c r="B8" s="61" t="s">
        <v>6</v>
      </c>
      <c r="C8" s="63"/>
      <c r="D8" s="63"/>
      <c r="E8" s="4" t="s">
        <v>516</v>
      </c>
      <c r="G8" s="61" t="s">
        <v>35</v>
      </c>
      <c r="H8" s="63"/>
      <c r="I8" s="63"/>
      <c r="J8">
        <v>1129.05</v>
      </c>
      <c r="L8" s="4"/>
    </row>
    <row r="9" spans="2:12" x14ac:dyDescent="0.25">
      <c r="B9" s="61" t="s">
        <v>5</v>
      </c>
      <c r="C9" s="63"/>
      <c r="D9" s="63"/>
      <c r="E9" s="4" t="s">
        <v>561</v>
      </c>
      <c r="G9" s="61" t="s">
        <v>5</v>
      </c>
      <c r="H9" s="63"/>
      <c r="I9" s="63"/>
      <c r="J9">
        <v>1300</v>
      </c>
      <c r="L9" s="4"/>
    </row>
    <row r="10" spans="2:12" x14ac:dyDescent="0.25">
      <c r="B10" s="19"/>
      <c r="C10" s="20"/>
      <c r="D10" s="20"/>
      <c r="E10" s="11"/>
      <c r="G10" s="9" t="s">
        <v>18</v>
      </c>
      <c r="H10" s="83" t="s">
        <v>20</v>
      </c>
      <c r="I10" s="83"/>
      <c r="J10" s="83"/>
      <c r="K10" s="83"/>
      <c r="L10" s="84"/>
    </row>
    <row r="11" spans="2:12" x14ac:dyDescent="0.25">
      <c r="B11" s="67" t="s">
        <v>7</v>
      </c>
      <c r="C11" s="68"/>
      <c r="D11" s="68"/>
      <c r="E11" s="69"/>
      <c r="G11" s="5" t="s">
        <v>70</v>
      </c>
      <c r="I11" s="82" t="s">
        <v>85</v>
      </c>
      <c r="J11" s="82"/>
      <c r="K11" s="82"/>
      <c r="L11" s="85"/>
    </row>
    <row r="12" spans="2:12" x14ac:dyDescent="0.25">
      <c r="B12" s="5" t="s">
        <v>9</v>
      </c>
      <c r="C12" t="s">
        <v>10</v>
      </c>
      <c r="D12" t="s">
        <v>11</v>
      </c>
      <c r="E12" s="4" t="s">
        <v>12</v>
      </c>
      <c r="G12" s="5" t="s">
        <v>16</v>
      </c>
      <c r="H12" t="s">
        <v>12</v>
      </c>
      <c r="I12" t="s">
        <v>17</v>
      </c>
      <c r="J12" t="s">
        <v>36</v>
      </c>
      <c r="L12" s="4"/>
    </row>
    <row r="13" spans="2:12" x14ac:dyDescent="0.25">
      <c r="B13" s="75" t="s">
        <v>517</v>
      </c>
      <c r="C13" s="37" t="s">
        <v>575</v>
      </c>
      <c r="D13" s="56">
        <v>263.54399999999998</v>
      </c>
      <c r="E13" s="39" t="s">
        <v>22</v>
      </c>
      <c r="G13" s="5" t="s">
        <v>38</v>
      </c>
      <c r="H13" t="s">
        <v>39</v>
      </c>
      <c r="I13">
        <v>43254.845000000001</v>
      </c>
      <c r="J13">
        <f>I13/$J$8</f>
        <v>38.31083211549533</v>
      </c>
      <c r="L13" s="4"/>
    </row>
    <row r="14" spans="2:12" x14ac:dyDescent="0.25">
      <c r="B14" s="75"/>
      <c r="C14" s="37" t="s">
        <v>519</v>
      </c>
      <c r="D14" s="56">
        <v>149.79</v>
      </c>
      <c r="E14" s="39" t="s">
        <v>22</v>
      </c>
      <c r="G14" s="5" t="s">
        <v>40</v>
      </c>
      <c r="H14" t="s">
        <v>41</v>
      </c>
      <c r="I14">
        <v>1.9739554999999999E-2</v>
      </c>
      <c r="J14">
        <f t="shared" ref="J14:J30" si="0">I14/$J$8</f>
        <v>1.7483331119082414E-5</v>
      </c>
      <c r="L14" s="4"/>
    </row>
    <row r="15" spans="2:12" x14ac:dyDescent="0.25">
      <c r="B15" s="75"/>
      <c r="C15" t="s">
        <v>523</v>
      </c>
      <c r="D15" s="56">
        <v>5.0964686385861047</v>
      </c>
      <c r="E15" s="4" t="s">
        <v>22</v>
      </c>
      <c r="G15" s="5" t="s">
        <v>42</v>
      </c>
      <c r="H15" t="s">
        <v>43</v>
      </c>
      <c r="I15">
        <v>2449.7835</v>
      </c>
      <c r="J15">
        <f t="shared" si="0"/>
        <v>2.169774146406271</v>
      </c>
      <c r="L15" s="4"/>
    </row>
    <row r="16" spans="2:12" x14ac:dyDescent="0.25">
      <c r="B16" s="75"/>
      <c r="C16" t="s">
        <v>524</v>
      </c>
      <c r="D16" s="56">
        <v>2.353006689992375E-7</v>
      </c>
      <c r="E16" s="4" t="s">
        <v>150</v>
      </c>
      <c r="G16" s="5" t="s">
        <v>44</v>
      </c>
      <c r="H16" t="s">
        <v>45</v>
      </c>
      <c r="I16">
        <v>164.30007000000001</v>
      </c>
      <c r="J16">
        <f t="shared" si="0"/>
        <v>0.14552063239006247</v>
      </c>
      <c r="L16" s="4"/>
    </row>
    <row r="17" spans="2:12" x14ac:dyDescent="0.25">
      <c r="B17" s="75"/>
      <c r="C17" t="s">
        <v>525</v>
      </c>
      <c r="D17" s="56">
        <v>51.375691921230896</v>
      </c>
      <c r="E17" s="4" t="s">
        <v>22</v>
      </c>
      <c r="G17" s="5" t="s">
        <v>46</v>
      </c>
      <c r="H17" t="s">
        <v>47</v>
      </c>
      <c r="I17">
        <v>196.28440000000001</v>
      </c>
      <c r="J17">
        <f t="shared" si="0"/>
        <v>0.17384916522740357</v>
      </c>
      <c r="L17" s="4"/>
    </row>
    <row r="18" spans="2:12" x14ac:dyDescent="0.25">
      <c r="B18" s="75"/>
      <c r="C18" t="s">
        <v>481</v>
      </c>
      <c r="D18" s="56">
        <v>5.0964686385861047</v>
      </c>
      <c r="E18" s="4" t="s">
        <v>22</v>
      </c>
      <c r="G18" s="5" t="s">
        <v>48</v>
      </c>
      <c r="H18" t="s">
        <v>45</v>
      </c>
      <c r="I18">
        <v>175.60874000000001</v>
      </c>
      <c r="J18">
        <f t="shared" si="0"/>
        <v>0.15553672556574114</v>
      </c>
      <c r="L18" s="4"/>
    </row>
    <row r="19" spans="2:12" x14ac:dyDescent="0.25">
      <c r="B19" s="75"/>
      <c r="C19" t="s">
        <v>529</v>
      </c>
      <c r="D19">
        <v>25.2563</v>
      </c>
      <c r="E19" s="4" t="s">
        <v>22</v>
      </c>
      <c r="G19" s="5" t="s">
        <v>49</v>
      </c>
      <c r="H19" t="s">
        <v>50</v>
      </c>
      <c r="I19">
        <v>527.97511999999995</v>
      </c>
      <c r="J19">
        <f t="shared" si="0"/>
        <v>0.46762775784951949</v>
      </c>
      <c r="L19" s="4"/>
    </row>
    <row r="20" spans="2:12" x14ac:dyDescent="0.25">
      <c r="B20" s="75"/>
      <c r="C20" t="s">
        <v>79</v>
      </c>
      <c r="D20" s="56">
        <v>51.375691921230896</v>
      </c>
      <c r="E20" s="4" t="s">
        <v>22</v>
      </c>
      <c r="G20" s="5" t="s">
        <v>51</v>
      </c>
      <c r="H20" t="s">
        <v>52</v>
      </c>
      <c r="I20">
        <v>66.501745</v>
      </c>
      <c r="J20">
        <f t="shared" si="0"/>
        <v>5.8900619990257301E-2</v>
      </c>
      <c r="L20" s="4"/>
    </row>
    <row r="21" spans="2:12" x14ac:dyDescent="0.25">
      <c r="B21" s="75"/>
      <c r="C21" t="s">
        <v>526</v>
      </c>
      <c r="D21" s="56">
        <v>282.56630556676993</v>
      </c>
      <c r="E21" s="4" t="s">
        <v>426</v>
      </c>
      <c r="G21" s="5" t="s">
        <v>53</v>
      </c>
      <c r="H21" t="s">
        <v>54</v>
      </c>
      <c r="I21">
        <v>2.2858532</v>
      </c>
      <c r="J21">
        <f t="shared" si="0"/>
        <v>2.0245810194411233E-3</v>
      </c>
      <c r="L21" s="4"/>
    </row>
    <row r="22" spans="2:12" x14ac:dyDescent="0.25">
      <c r="B22" s="75"/>
      <c r="C22" t="s">
        <v>527</v>
      </c>
      <c r="D22" s="56">
        <v>282.56630556676993</v>
      </c>
      <c r="E22" s="4" t="s">
        <v>426</v>
      </c>
      <c r="G22" s="5" t="s">
        <v>55</v>
      </c>
      <c r="H22" t="s">
        <v>56</v>
      </c>
      <c r="I22">
        <v>999736.54</v>
      </c>
      <c r="J22">
        <f t="shared" si="0"/>
        <v>885.46702094681382</v>
      </c>
      <c r="L22" s="4"/>
    </row>
    <row r="23" spans="2:12" x14ac:dyDescent="0.25">
      <c r="B23" s="75" t="s">
        <v>521</v>
      </c>
      <c r="C23" t="s">
        <v>524</v>
      </c>
      <c r="D23">
        <v>5.0634321177051103E-8</v>
      </c>
      <c r="E23" s="4" t="s">
        <v>150</v>
      </c>
      <c r="G23" s="5" t="s">
        <v>57</v>
      </c>
      <c r="H23" t="s">
        <v>56</v>
      </c>
      <c r="I23">
        <v>42007.311999999998</v>
      </c>
      <c r="J23">
        <f t="shared" si="0"/>
        <v>37.205891678845049</v>
      </c>
      <c r="L23" s="4"/>
    </row>
    <row r="24" spans="2:12" x14ac:dyDescent="0.25">
      <c r="B24" s="75"/>
      <c r="C24" t="s">
        <v>525</v>
      </c>
      <c r="D24">
        <v>110.55528641277533</v>
      </c>
      <c r="E24" s="4" t="s">
        <v>22</v>
      </c>
      <c r="G24" s="5" t="s">
        <v>58</v>
      </c>
      <c r="H24" t="s">
        <v>56</v>
      </c>
      <c r="I24">
        <v>52932.023000000001</v>
      </c>
      <c r="J24">
        <f t="shared" si="0"/>
        <v>46.881912227093579</v>
      </c>
      <c r="L24" s="4"/>
    </row>
    <row r="25" spans="2:12" x14ac:dyDescent="0.25">
      <c r="B25" s="75"/>
      <c r="C25" t="s">
        <v>528</v>
      </c>
      <c r="D25">
        <v>6.0805407527026434</v>
      </c>
      <c r="E25" s="4" t="s">
        <v>22</v>
      </c>
      <c r="G25" s="5" t="s">
        <v>59</v>
      </c>
      <c r="H25" t="s">
        <v>56</v>
      </c>
      <c r="I25">
        <v>64920.351000000002</v>
      </c>
      <c r="J25">
        <f t="shared" si="0"/>
        <v>57.499978743191186</v>
      </c>
      <c r="L25" s="4"/>
    </row>
    <row r="26" spans="2:12" x14ac:dyDescent="0.25">
      <c r="B26" s="75"/>
      <c r="C26" t="s">
        <v>79</v>
      </c>
      <c r="D26">
        <v>110.55528641277533</v>
      </c>
      <c r="E26" s="4" t="s">
        <v>22</v>
      </c>
      <c r="G26" s="5" t="s">
        <v>60</v>
      </c>
      <c r="H26" t="s">
        <v>56</v>
      </c>
      <c r="I26">
        <v>666347.68999999994</v>
      </c>
      <c r="J26">
        <f t="shared" si="0"/>
        <v>590.1843939595235</v>
      </c>
      <c r="L26" s="4"/>
    </row>
    <row r="27" spans="2:12" x14ac:dyDescent="0.25">
      <c r="B27" s="75"/>
      <c r="C27" t="s">
        <v>526</v>
      </c>
      <c r="D27">
        <v>34.824915220024231</v>
      </c>
      <c r="E27" s="4" t="s">
        <v>426</v>
      </c>
      <c r="G27" s="5" t="s">
        <v>61</v>
      </c>
      <c r="H27" t="s">
        <v>62</v>
      </c>
      <c r="I27">
        <v>2938.9169000000002</v>
      </c>
      <c r="J27">
        <f t="shared" si="0"/>
        <v>2.6029997785749082</v>
      </c>
      <c r="L27" s="4"/>
    </row>
    <row r="28" spans="2:12" x14ac:dyDescent="0.25">
      <c r="B28" s="75"/>
      <c r="C28" t="s">
        <v>527</v>
      </c>
      <c r="D28">
        <v>34.824915220024231</v>
      </c>
      <c r="E28" s="4" t="s">
        <v>426</v>
      </c>
      <c r="G28" s="5" t="s">
        <v>63</v>
      </c>
      <c r="H28" t="s">
        <v>64</v>
      </c>
      <c r="I28">
        <v>2295.8094000000001</v>
      </c>
      <c r="J28">
        <f t="shared" si="0"/>
        <v>2.0333992294406804</v>
      </c>
      <c r="L28" s="4"/>
    </row>
    <row r="29" spans="2:12" ht="15.75" thickBot="1" x14ac:dyDescent="0.3">
      <c r="B29" s="6" t="s">
        <v>522</v>
      </c>
      <c r="C29" s="58" t="s">
        <v>673</v>
      </c>
      <c r="D29" s="58">
        <v>2.6</v>
      </c>
      <c r="E29" s="59" t="s">
        <v>150</v>
      </c>
      <c r="G29" s="5" t="s">
        <v>65</v>
      </c>
      <c r="H29" t="s">
        <v>66</v>
      </c>
      <c r="I29">
        <v>13415.527</v>
      </c>
      <c r="J29">
        <f t="shared" si="0"/>
        <v>11.882137194986937</v>
      </c>
      <c r="L29" s="4"/>
    </row>
    <row r="30" spans="2:12" ht="15.75" thickBot="1" x14ac:dyDescent="0.3">
      <c r="G30" s="6" t="s">
        <v>67</v>
      </c>
      <c r="H30" s="7" t="s">
        <v>68</v>
      </c>
      <c r="I30" s="7">
        <v>515.81776000000002</v>
      </c>
      <c r="J30" s="7">
        <f t="shared" si="0"/>
        <v>0.45685997962889158</v>
      </c>
      <c r="K30" s="7"/>
      <c r="L30" s="8"/>
    </row>
    <row r="31" spans="2:12" x14ac:dyDescent="0.25">
      <c r="B31" s="17"/>
      <c r="C31" s="17"/>
      <c r="D31" s="17"/>
      <c r="E31" s="17"/>
    </row>
    <row r="32" spans="2:12" ht="15.75" thickBot="1" x14ac:dyDescent="0.3"/>
    <row r="33" spans="2:51" x14ac:dyDescent="0.25">
      <c r="B33" s="64" t="s">
        <v>1</v>
      </c>
      <c r="C33" s="65"/>
      <c r="D33" s="65"/>
      <c r="E33" s="66"/>
      <c r="G33" s="64" t="s">
        <v>69</v>
      </c>
      <c r="H33" s="65"/>
      <c r="I33" s="65"/>
      <c r="J33" s="65"/>
      <c r="K33" s="65"/>
      <c r="L33" s="66"/>
    </row>
    <row r="34" spans="2:51" x14ac:dyDescent="0.25">
      <c r="B34" s="61" t="s">
        <v>13</v>
      </c>
      <c r="C34" s="63"/>
      <c r="D34" s="63"/>
      <c r="E34" s="4" t="s">
        <v>514</v>
      </c>
      <c r="G34" s="61" t="s">
        <v>37</v>
      </c>
      <c r="H34" s="63"/>
      <c r="I34" s="63"/>
      <c r="J34">
        <v>1129.05</v>
      </c>
      <c r="L34" s="4"/>
    </row>
    <row r="35" spans="2:51" x14ac:dyDescent="0.25">
      <c r="B35" s="61" t="s">
        <v>14</v>
      </c>
      <c r="C35" s="63"/>
      <c r="D35" s="63"/>
      <c r="E35" s="4" t="s">
        <v>515</v>
      </c>
      <c r="G35" s="61" t="s">
        <v>14</v>
      </c>
      <c r="H35" s="63"/>
      <c r="I35" s="63"/>
      <c r="J35">
        <v>1300</v>
      </c>
      <c r="L35" s="4"/>
    </row>
    <row r="36" spans="2:51" x14ac:dyDescent="0.25">
      <c r="B36" s="19"/>
      <c r="C36" s="20"/>
      <c r="D36" s="20"/>
      <c r="E36" s="11"/>
      <c r="G36" s="9" t="s">
        <v>18</v>
      </c>
      <c r="H36" s="83" t="s">
        <v>20</v>
      </c>
      <c r="I36" s="83"/>
      <c r="J36" s="83"/>
      <c r="K36" s="83"/>
      <c r="L36" s="84"/>
      <c r="AY36" s="53"/>
    </row>
    <row r="37" spans="2:51" x14ac:dyDescent="0.25">
      <c r="B37" s="67" t="s">
        <v>7</v>
      </c>
      <c r="C37" s="68"/>
      <c r="D37" s="68"/>
      <c r="E37" s="69"/>
      <c r="G37" s="5" t="s">
        <v>70</v>
      </c>
      <c r="I37" s="82" t="s">
        <v>85</v>
      </c>
      <c r="J37" s="82"/>
      <c r="K37" s="82"/>
      <c r="L37" s="85"/>
      <c r="AY37" s="53"/>
    </row>
    <row r="38" spans="2:51" x14ac:dyDescent="0.25">
      <c r="B38" s="5" t="s">
        <v>9</v>
      </c>
      <c r="C38" t="s">
        <v>10</v>
      </c>
      <c r="D38" t="s">
        <v>11</v>
      </c>
      <c r="E38" s="4" t="s">
        <v>12</v>
      </c>
      <c r="G38" s="5" t="s">
        <v>16</v>
      </c>
      <c r="H38" t="s">
        <v>12</v>
      </c>
      <c r="I38" t="s">
        <v>17</v>
      </c>
      <c r="J38" t="s">
        <v>19</v>
      </c>
      <c r="L38" s="4"/>
      <c r="AY38" s="53"/>
    </row>
    <row r="39" spans="2:51" x14ac:dyDescent="0.25">
      <c r="B39" s="75" t="s">
        <v>517</v>
      </c>
      <c r="C39" s="37" t="s">
        <v>666</v>
      </c>
      <c r="D39">
        <v>1.3</v>
      </c>
      <c r="E39" s="4" t="s">
        <v>546</v>
      </c>
      <c r="G39" s="5" t="s">
        <v>38</v>
      </c>
      <c r="H39" t="s">
        <v>39</v>
      </c>
      <c r="I39">
        <v>86244.517999999996</v>
      </c>
      <c r="J39">
        <f>I39/$J$34</f>
        <v>76.386801293122531</v>
      </c>
      <c r="L39" s="4"/>
      <c r="AY39" s="53"/>
    </row>
    <row r="40" spans="2:51" x14ac:dyDescent="0.25">
      <c r="B40" s="75"/>
      <c r="C40" t="s">
        <v>523</v>
      </c>
      <c r="D40">
        <v>103.8350513614139</v>
      </c>
      <c r="E40" s="4" t="s">
        <v>22</v>
      </c>
      <c r="G40" s="5" t="s">
        <v>40</v>
      </c>
      <c r="H40" t="s">
        <v>41</v>
      </c>
      <c r="I40">
        <v>0.24568651</v>
      </c>
      <c r="J40">
        <f t="shared" ref="J40:J56" si="1">I40/$J$34</f>
        <v>2.1760463221292238E-4</v>
      </c>
      <c r="L40" s="4"/>
    </row>
    <row r="41" spans="2:51" x14ac:dyDescent="0.25">
      <c r="B41" s="75"/>
      <c r="C41" t="s">
        <v>524</v>
      </c>
      <c r="D41">
        <v>4.7939973310007631E-6</v>
      </c>
      <c r="E41" s="4" t="s">
        <v>150</v>
      </c>
      <c r="G41" s="5" t="s">
        <v>42</v>
      </c>
      <c r="H41" t="s">
        <v>43</v>
      </c>
      <c r="I41">
        <v>5201.4907000000003</v>
      </c>
      <c r="J41">
        <f t="shared" si="1"/>
        <v>4.6069622248793234</v>
      </c>
      <c r="L41" s="4"/>
    </row>
    <row r="42" spans="2:51" x14ac:dyDescent="0.25">
      <c r="B42" s="75"/>
      <c r="C42" t="s">
        <v>525</v>
      </c>
      <c r="D42">
        <v>1046.7243080787691</v>
      </c>
      <c r="E42" s="4" t="s">
        <v>22</v>
      </c>
      <c r="G42" s="5" t="s">
        <v>44</v>
      </c>
      <c r="H42" t="s">
        <v>45</v>
      </c>
      <c r="I42">
        <v>192.54503</v>
      </c>
      <c r="J42">
        <f t="shared" si="1"/>
        <v>0.17053720384393961</v>
      </c>
      <c r="L42" s="4"/>
    </row>
    <row r="43" spans="2:51" x14ac:dyDescent="0.25">
      <c r="B43" s="75"/>
      <c r="C43" t="s">
        <v>481</v>
      </c>
      <c r="D43">
        <v>103.8350513614139</v>
      </c>
      <c r="E43" s="4" t="s">
        <v>22</v>
      </c>
      <c r="G43" s="5" t="s">
        <v>46</v>
      </c>
      <c r="H43" t="s">
        <v>47</v>
      </c>
      <c r="I43">
        <v>142.95922999999999</v>
      </c>
      <c r="J43">
        <f t="shared" si="1"/>
        <v>0.12661904255790266</v>
      </c>
      <c r="L43" s="4"/>
    </row>
    <row r="44" spans="2:51" x14ac:dyDescent="0.25">
      <c r="B44" s="75"/>
      <c r="C44" t="s">
        <v>79</v>
      </c>
      <c r="D44">
        <v>1046.7243080787691</v>
      </c>
      <c r="E44" s="4" t="s">
        <v>22</v>
      </c>
      <c r="G44" s="5" t="s">
        <v>48</v>
      </c>
      <c r="H44" t="s">
        <v>45</v>
      </c>
      <c r="I44">
        <v>200.11975000000001</v>
      </c>
      <c r="J44">
        <f t="shared" si="1"/>
        <v>0.17724613613214651</v>
      </c>
      <c r="L44" s="4"/>
    </row>
    <row r="45" spans="2:51" x14ac:dyDescent="0.25">
      <c r="B45" s="75"/>
      <c r="C45" t="s">
        <v>526</v>
      </c>
      <c r="D45">
        <v>5756.9836944332301</v>
      </c>
      <c r="E45" s="4" t="s">
        <v>426</v>
      </c>
      <c r="G45" s="5" t="s">
        <v>49</v>
      </c>
      <c r="H45" t="s">
        <v>50</v>
      </c>
      <c r="I45">
        <v>272.54381999999998</v>
      </c>
      <c r="J45">
        <f t="shared" si="1"/>
        <v>0.24139216155174703</v>
      </c>
      <c r="L45" s="4"/>
    </row>
    <row r="46" spans="2:51" x14ac:dyDescent="0.25">
      <c r="B46" s="75"/>
      <c r="C46" t="s">
        <v>527</v>
      </c>
      <c r="D46">
        <v>5756.9836944332301</v>
      </c>
      <c r="E46" s="4" t="s">
        <v>426</v>
      </c>
      <c r="G46" s="5" t="s">
        <v>51</v>
      </c>
      <c r="H46" t="s">
        <v>52</v>
      </c>
      <c r="I46">
        <v>40.38241</v>
      </c>
      <c r="J46">
        <f t="shared" si="1"/>
        <v>3.5766715380186886E-2</v>
      </c>
      <c r="L46" s="4"/>
    </row>
    <row r="47" spans="2:51" x14ac:dyDescent="0.25">
      <c r="B47" s="75" t="s">
        <v>521</v>
      </c>
      <c r="C47" t="s">
        <v>524</v>
      </c>
      <c r="D47">
        <v>1.0316196788229489E-6</v>
      </c>
      <c r="E47" s="4" t="s">
        <v>150</v>
      </c>
      <c r="G47" s="5" t="s">
        <v>53</v>
      </c>
      <c r="H47" t="s">
        <v>54</v>
      </c>
      <c r="I47">
        <v>2.6558320000000002</v>
      </c>
      <c r="J47">
        <f t="shared" si="1"/>
        <v>2.3522713785926225E-3</v>
      </c>
      <c r="L47" s="4"/>
    </row>
    <row r="48" spans="2:51" x14ac:dyDescent="0.25">
      <c r="B48" s="75"/>
      <c r="C48" t="s">
        <v>525</v>
      </c>
      <c r="D48">
        <v>2252.4447135872247</v>
      </c>
      <c r="E48" s="4" t="s">
        <v>22</v>
      </c>
      <c r="G48" s="5" t="s">
        <v>55</v>
      </c>
      <c r="H48" t="s">
        <v>56</v>
      </c>
      <c r="I48">
        <v>183353.36</v>
      </c>
      <c r="J48">
        <f t="shared" si="1"/>
        <v>162.39613834639741</v>
      </c>
      <c r="L48" s="4"/>
    </row>
    <row r="49" spans="2:101" x14ac:dyDescent="0.25">
      <c r="B49" s="75"/>
      <c r="C49" t="s">
        <v>528</v>
      </c>
      <c r="D49">
        <v>123.88445924729736</v>
      </c>
      <c r="E49" s="4" t="s">
        <v>22</v>
      </c>
      <c r="G49" s="5" t="s">
        <v>57</v>
      </c>
      <c r="H49" t="s">
        <v>56</v>
      </c>
      <c r="I49">
        <v>6032.2263999999996</v>
      </c>
      <c r="J49">
        <f t="shared" si="1"/>
        <v>5.3427451397192325</v>
      </c>
      <c r="L49" s="4"/>
    </row>
    <row r="50" spans="2:101" x14ac:dyDescent="0.25">
      <c r="B50" s="75"/>
      <c r="C50" t="s">
        <v>79</v>
      </c>
      <c r="D50">
        <v>2252.4447135872247</v>
      </c>
      <c r="E50" s="4" t="s">
        <v>22</v>
      </c>
      <c r="G50" s="5" t="s">
        <v>58</v>
      </c>
      <c r="H50" t="s">
        <v>56</v>
      </c>
      <c r="I50">
        <v>7993.8005000000003</v>
      </c>
      <c r="J50">
        <f t="shared" si="1"/>
        <v>7.0801120410964975</v>
      </c>
      <c r="L50" s="4"/>
    </row>
    <row r="51" spans="2:101" x14ac:dyDescent="0.25">
      <c r="B51" s="75"/>
      <c r="C51" t="s">
        <v>526</v>
      </c>
      <c r="D51">
        <v>709.52008477997583</v>
      </c>
      <c r="E51" s="4" t="s">
        <v>426</v>
      </c>
      <c r="G51" s="5" t="s">
        <v>59</v>
      </c>
      <c r="H51" t="s">
        <v>56</v>
      </c>
      <c r="I51">
        <v>61294.527000000002</v>
      </c>
      <c r="J51">
        <f t="shared" si="1"/>
        <v>54.288585093662817</v>
      </c>
      <c r="L51" s="4"/>
    </row>
    <row r="52" spans="2:101" ht="15.75" thickBot="1" x14ac:dyDescent="0.3">
      <c r="B52" s="91"/>
      <c r="C52" s="7" t="s">
        <v>527</v>
      </c>
      <c r="D52" s="7">
        <v>709.52008477997583</v>
      </c>
      <c r="E52" s="8" t="s">
        <v>426</v>
      </c>
      <c r="G52" s="5" t="s">
        <v>60</v>
      </c>
      <c r="H52" t="s">
        <v>56</v>
      </c>
      <c r="I52">
        <v>142301.03</v>
      </c>
      <c r="J52">
        <f t="shared" si="1"/>
        <v>126.03607457597096</v>
      </c>
      <c r="L52" s="4"/>
    </row>
    <row r="53" spans="2:101" x14ac:dyDescent="0.25">
      <c r="B53" s="17"/>
      <c r="C53" s="17"/>
      <c r="D53" s="17"/>
      <c r="E53" s="17"/>
      <c r="G53" s="5" t="s">
        <v>61</v>
      </c>
      <c r="H53" t="s">
        <v>62</v>
      </c>
      <c r="I53">
        <v>2764.8521000000001</v>
      </c>
      <c r="J53">
        <f t="shared" si="1"/>
        <v>2.4488305212346666</v>
      </c>
      <c r="L53" s="4"/>
    </row>
    <row r="54" spans="2:101" x14ac:dyDescent="0.25">
      <c r="B54" s="17"/>
      <c r="C54" s="17"/>
      <c r="D54" s="17"/>
      <c r="E54" s="17"/>
      <c r="G54" s="5" t="s">
        <v>63</v>
      </c>
      <c r="H54" t="s">
        <v>64</v>
      </c>
      <c r="I54">
        <v>914.78629000000001</v>
      </c>
      <c r="J54">
        <f t="shared" si="1"/>
        <v>0.81022655329701965</v>
      </c>
      <c r="L54" s="4"/>
    </row>
    <row r="55" spans="2:101" x14ac:dyDescent="0.25">
      <c r="B55" s="17"/>
      <c r="C55" s="17"/>
      <c r="D55" s="17"/>
      <c r="E55" s="17"/>
      <c r="G55" s="5" t="s">
        <v>65</v>
      </c>
      <c r="H55" t="s">
        <v>66</v>
      </c>
      <c r="I55">
        <v>22903.775000000001</v>
      </c>
      <c r="J55">
        <f t="shared" si="1"/>
        <v>20.285881936141006</v>
      </c>
      <c r="L55" s="4"/>
    </row>
    <row r="56" spans="2:101" ht="15.75" thickBot="1" x14ac:dyDescent="0.3">
      <c r="B56" s="17"/>
      <c r="C56" s="17"/>
      <c r="D56" s="17"/>
      <c r="E56" s="17"/>
      <c r="G56" s="6" t="s">
        <v>67</v>
      </c>
      <c r="H56" s="7" t="s">
        <v>68</v>
      </c>
      <c r="I56" s="7">
        <v>597.63270999999997</v>
      </c>
      <c r="J56" s="7">
        <f t="shared" si="1"/>
        <v>0.52932351091625707</v>
      </c>
      <c r="K56" s="7"/>
      <c r="L56" s="8"/>
    </row>
    <row r="57" spans="2:101" x14ac:dyDescent="0.25">
      <c r="B57" s="17"/>
      <c r="C57" s="17"/>
      <c r="D57" s="17"/>
      <c r="E57" s="17"/>
    </row>
    <row r="58" spans="2:101" ht="15.75" thickBot="1" x14ac:dyDescent="0.3"/>
    <row r="59" spans="2:101" x14ac:dyDescent="0.25">
      <c r="C59" s="88" t="s">
        <v>574</v>
      </c>
      <c r="D59" s="89"/>
      <c r="E59" s="90"/>
      <c r="G59" s="88" t="s">
        <v>605</v>
      </c>
      <c r="H59" s="89"/>
      <c r="I59" s="90"/>
      <c r="K59" s="88" t="s">
        <v>531</v>
      </c>
      <c r="L59" s="89"/>
      <c r="M59" s="90"/>
      <c r="O59" s="88" t="s">
        <v>632</v>
      </c>
      <c r="P59" s="89"/>
      <c r="Q59" s="90"/>
      <c r="S59" s="88" t="s">
        <v>628</v>
      </c>
      <c r="T59" s="89"/>
      <c r="U59" s="90"/>
      <c r="W59" s="88" t="s">
        <v>627</v>
      </c>
      <c r="X59" s="89"/>
      <c r="Y59" s="90"/>
      <c r="AA59" s="88" t="s">
        <v>640</v>
      </c>
      <c r="AB59" s="89"/>
      <c r="AC59" s="90"/>
      <c r="AE59" s="88" t="s">
        <v>646</v>
      </c>
      <c r="AF59" s="89"/>
      <c r="AG59" s="90"/>
      <c r="AI59" s="88" t="s">
        <v>648</v>
      </c>
      <c r="AJ59" s="89"/>
      <c r="AK59" s="90"/>
      <c r="AM59" s="88" t="s">
        <v>649</v>
      </c>
      <c r="AN59" s="89"/>
      <c r="AO59" s="90"/>
      <c r="AQ59" s="88" t="s">
        <v>646</v>
      </c>
      <c r="AR59" s="89"/>
      <c r="AS59" s="90"/>
      <c r="AU59" s="88" t="s">
        <v>656</v>
      </c>
      <c r="AV59" s="89"/>
      <c r="AW59" s="90"/>
      <c r="AY59" s="88" t="s">
        <v>661</v>
      </c>
      <c r="AZ59" s="89"/>
      <c r="BA59" s="90"/>
      <c r="BC59" s="88" t="s">
        <v>669</v>
      </c>
      <c r="BD59" s="89"/>
      <c r="BE59" s="90"/>
    </row>
    <row r="60" spans="2:101" x14ac:dyDescent="0.25">
      <c r="C60" s="67" t="s">
        <v>7</v>
      </c>
      <c r="D60" s="68"/>
      <c r="E60" s="69"/>
      <c r="G60" s="67" t="s">
        <v>7</v>
      </c>
      <c r="H60" s="68"/>
      <c r="I60" s="69"/>
      <c r="K60" s="67" t="s">
        <v>7</v>
      </c>
      <c r="L60" s="68"/>
      <c r="M60" s="69"/>
      <c r="O60" s="67" t="s">
        <v>7</v>
      </c>
      <c r="P60" s="97"/>
      <c r="Q60" s="69"/>
      <c r="S60" s="67" t="s">
        <v>7</v>
      </c>
      <c r="T60" s="68"/>
      <c r="U60" s="69"/>
      <c r="W60" s="67" t="s">
        <v>7</v>
      </c>
      <c r="X60" s="68"/>
      <c r="Y60" s="69"/>
      <c r="AA60" s="67" t="s">
        <v>7</v>
      </c>
      <c r="AB60" s="97"/>
      <c r="AC60" s="69"/>
      <c r="AE60" s="67" t="s">
        <v>7</v>
      </c>
      <c r="AF60" s="68"/>
      <c r="AG60" s="69"/>
      <c r="AI60" s="67" t="s">
        <v>7</v>
      </c>
      <c r="AJ60" s="68"/>
      <c r="AK60" s="69"/>
      <c r="AM60" s="67" t="s">
        <v>7</v>
      </c>
      <c r="AN60" s="68"/>
      <c r="AO60" s="69"/>
      <c r="AQ60" s="67" t="s">
        <v>7</v>
      </c>
      <c r="AR60" s="68"/>
      <c r="AS60" s="69"/>
      <c r="AU60" s="67" t="s">
        <v>7</v>
      </c>
      <c r="AV60" s="68"/>
      <c r="AW60" s="69"/>
      <c r="AY60" s="67" t="s">
        <v>7</v>
      </c>
      <c r="AZ60" s="97"/>
      <c r="BA60" s="69"/>
      <c r="BC60" s="67" t="s">
        <v>7</v>
      </c>
      <c r="BD60" s="68"/>
      <c r="BE60" s="69"/>
      <c r="CI60" s="17"/>
      <c r="CJ60" s="17"/>
      <c r="CK60" s="17"/>
      <c r="CM60" s="17"/>
      <c r="CN60" s="17"/>
      <c r="CO60" s="17"/>
      <c r="CQ60" s="17"/>
      <c r="CR60" s="17"/>
      <c r="CS60" s="17"/>
      <c r="CU60" s="17"/>
      <c r="CV60" s="17"/>
      <c r="CW60" s="17"/>
    </row>
    <row r="61" spans="2:101" x14ac:dyDescent="0.25">
      <c r="C61" s="5" t="s">
        <v>10</v>
      </c>
      <c r="D61" t="s">
        <v>11</v>
      </c>
      <c r="E61" s="4" t="s">
        <v>12</v>
      </c>
      <c r="G61" s="5" t="s">
        <v>10</v>
      </c>
      <c r="H61" t="s">
        <v>11</v>
      </c>
      <c r="I61" s="4" t="s">
        <v>12</v>
      </c>
      <c r="K61" s="5" t="s">
        <v>10</v>
      </c>
      <c r="L61" t="s">
        <v>11</v>
      </c>
      <c r="M61" s="4" t="s">
        <v>12</v>
      </c>
      <c r="O61" s="5" t="s">
        <v>10</v>
      </c>
      <c r="P61" s="98" t="s">
        <v>11</v>
      </c>
      <c r="Q61" s="4" t="s">
        <v>12</v>
      </c>
      <c r="S61" s="5" t="s">
        <v>10</v>
      </c>
      <c r="T61" t="s">
        <v>11</v>
      </c>
      <c r="U61" s="4" t="s">
        <v>12</v>
      </c>
      <c r="W61" s="5" t="s">
        <v>10</v>
      </c>
      <c r="X61" t="s">
        <v>11</v>
      </c>
      <c r="Y61" s="4" t="s">
        <v>12</v>
      </c>
      <c r="AA61" s="5" t="s">
        <v>10</v>
      </c>
      <c r="AB61" s="98" t="s">
        <v>11</v>
      </c>
      <c r="AC61" s="4" t="s">
        <v>12</v>
      </c>
      <c r="AE61" s="5" t="s">
        <v>10</v>
      </c>
      <c r="AF61" t="s">
        <v>11</v>
      </c>
      <c r="AG61" s="4" t="s">
        <v>12</v>
      </c>
      <c r="AI61" s="5" t="s">
        <v>10</v>
      </c>
      <c r="AJ61" t="s">
        <v>11</v>
      </c>
      <c r="AK61" s="4" t="s">
        <v>12</v>
      </c>
      <c r="AM61" s="5" t="s">
        <v>10</v>
      </c>
      <c r="AN61" t="s">
        <v>11</v>
      </c>
      <c r="AO61" s="4" t="s">
        <v>12</v>
      </c>
      <c r="AQ61" s="5" t="s">
        <v>10</v>
      </c>
      <c r="AR61" t="s">
        <v>11</v>
      </c>
      <c r="AS61" s="4" t="s">
        <v>12</v>
      </c>
      <c r="AU61" s="5" t="s">
        <v>10</v>
      </c>
      <c r="AV61" t="s">
        <v>11</v>
      </c>
      <c r="AW61" s="4" t="s">
        <v>12</v>
      </c>
      <c r="AY61" s="5" t="s">
        <v>10</v>
      </c>
      <c r="AZ61" s="98" t="s">
        <v>11</v>
      </c>
      <c r="BA61" s="4" t="s">
        <v>12</v>
      </c>
      <c r="BC61" s="5" t="s">
        <v>10</v>
      </c>
      <c r="BD61" t="s">
        <v>11</v>
      </c>
      <c r="BE61" s="4" t="s">
        <v>12</v>
      </c>
    </row>
    <row r="62" spans="2:101" x14ac:dyDescent="0.25">
      <c r="C62" s="5" t="s">
        <v>534</v>
      </c>
      <c r="D62">
        <v>0.17</v>
      </c>
      <c r="E62" s="4" t="s">
        <v>22</v>
      </c>
      <c r="G62" s="49" t="s">
        <v>616</v>
      </c>
      <c r="H62">
        <v>357.85</v>
      </c>
      <c r="I62" s="4" t="s">
        <v>22</v>
      </c>
      <c r="K62" s="5" t="s">
        <v>555</v>
      </c>
      <c r="L62">
        <v>9.0999999999999998E-2</v>
      </c>
      <c r="M62" s="4" t="s">
        <v>22</v>
      </c>
      <c r="O62" s="49" t="s">
        <v>618</v>
      </c>
      <c r="P62" s="98">
        <v>0.85699999999999998</v>
      </c>
      <c r="Q62" s="4" t="s">
        <v>22</v>
      </c>
      <c r="S62" s="5" t="s">
        <v>637</v>
      </c>
      <c r="T62">
        <v>1.1445000000000001</v>
      </c>
      <c r="U62" s="4" t="s">
        <v>22</v>
      </c>
      <c r="W62" s="5" t="s">
        <v>622</v>
      </c>
      <c r="X62" s="12">
        <v>0.752</v>
      </c>
      <c r="Y62" s="4" t="s">
        <v>22</v>
      </c>
      <c r="AA62" s="49" t="s">
        <v>641</v>
      </c>
      <c r="AB62" s="98">
        <v>0.87780000000000002</v>
      </c>
      <c r="AC62" s="4" t="s">
        <v>22</v>
      </c>
      <c r="AE62" s="5" t="s">
        <v>642</v>
      </c>
      <c r="AF62">
        <v>0.70240000000000002</v>
      </c>
      <c r="AG62" s="4" t="s">
        <v>22</v>
      </c>
      <c r="AI62" s="49" t="s">
        <v>651</v>
      </c>
      <c r="AJ62" s="12">
        <v>0.11700000000000001</v>
      </c>
      <c r="AK62" s="4" t="s">
        <v>22</v>
      </c>
      <c r="AM62" s="5" t="s">
        <v>468</v>
      </c>
      <c r="AN62" s="12">
        <v>0.5</v>
      </c>
      <c r="AO62" s="4" t="s">
        <v>22</v>
      </c>
      <c r="AQ62" s="5" t="s">
        <v>468</v>
      </c>
      <c r="AR62" s="12">
        <v>1</v>
      </c>
      <c r="AS62" s="4" t="s">
        <v>22</v>
      </c>
      <c r="AU62" s="5" t="s">
        <v>652</v>
      </c>
      <c r="AV62" s="12">
        <v>0.31900000000000001</v>
      </c>
      <c r="AW62" s="4" t="s">
        <v>22</v>
      </c>
      <c r="AY62" s="5" t="s">
        <v>539</v>
      </c>
      <c r="AZ62" s="99">
        <v>0.97799999999999998</v>
      </c>
      <c r="BA62" s="4" t="s">
        <v>22</v>
      </c>
      <c r="BC62" s="5" t="s">
        <v>468</v>
      </c>
      <c r="BD62">
        <v>1</v>
      </c>
      <c r="BE62" s="4" t="s">
        <v>22</v>
      </c>
    </row>
    <row r="63" spans="2:101" x14ac:dyDescent="0.25">
      <c r="C63" s="5" t="s">
        <v>533</v>
      </c>
      <c r="D63">
        <v>0.53</v>
      </c>
      <c r="E63" s="4" t="s">
        <v>22</v>
      </c>
      <c r="G63" s="49" t="s">
        <v>615</v>
      </c>
      <c r="H63">
        <v>382.94</v>
      </c>
      <c r="I63" s="4" t="s">
        <v>22</v>
      </c>
      <c r="K63" s="5" t="s">
        <v>556</v>
      </c>
      <c r="L63" s="12">
        <v>1.4000000000000001E-10</v>
      </c>
      <c r="M63" s="4" t="s">
        <v>86</v>
      </c>
      <c r="O63" s="5" t="s">
        <v>620</v>
      </c>
      <c r="P63" s="99">
        <v>2.4199999999999999E-2</v>
      </c>
      <c r="Q63" s="4" t="s">
        <v>22</v>
      </c>
      <c r="S63" s="5" t="s">
        <v>638</v>
      </c>
      <c r="T63">
        <v>0.89958000000000005</v>
      </c>
      <c r="U63" s="4" t="s">
        <v>22</v>
      </c>
      <c r="W63" s="5" t="s">
        <v>623</v>
      </c>
      <c r="X63" s="12">
        <v>0.251</v>
      </c>
      <c r="Y63" s="4" t="s">
        <v>22</v>
      </c>
      <c r="AA63" s="5" t="s">
        <v>445</v>
      </c>
      <c r="AB63" s="98">
        <v>1.8280000000000001E-2</v>
      </c>
      <c r="AC63" s="4" t="s">
        <v>22</v>
      </c>
      <c r="AE63" s="5" t="s">
        <v>643</v>
      </c>
      <c r="AF63">
        <v>2.1000000000000001E-2</v>
      </c>
      <c r="AG63" s="4" t="s">
        <v>22</v>
      </c>
      <c r="AI63" s="49" t="s">
        <v>650</v>
      </c>
      <c r="AJ63" s="12">
        <v>0.17699999999999999</v>
      </c>
      <c r="AK63" s="4" t="s">
        <v>22</v>
      </c>
      <c r="AM63" s="5" t="s">
        <v>662</v>
      </c>
      <c r="AN63" s="12">
        <v>7.8E-2</v>
      </c>
      <c r="AO63" s="4" t="s">
        <v>22</v>
      </c>
      <c r="AQ63" s="5" t="s">
        <v>619</v>
      </c>
      <c r="AR63" s="12">
        <v>1</v>
      </c>
      <c r="AS63" s="4" t="s">
        <v>22</v>
      </c>
      <c r="AU63" s="5" t="s">
        <v>653</v>
      </c>
      <c r="AV63">
        <v>1.98</v>
      </c>
      <c r="AW63" s="4" t="s">
        <v>22</v>
      </c>
      <c r="AY63" s="5" t="s">
        <v>660</v>
      </c>
      <c r="AZ63" s="99">
        <v>0.71099999999999997</v>
      </c>
      <c r="BA63" s="4" t="s">
        <v>22</v>
      </c>
      <c r="BC63" s="5" t="s">
        <v>619</v>
      </c>
      <c r="BD63">
        <v>1</v>
      </c>
      <c r="BE63" s="4" t="s">
        <v>22</v>
      </c>
    </row>
    <row r="64" spans="2:101" x14ac:dyDescent="0.25">
      <c r="C64" s="5" t="s">
        <v>523</v>
      </c>
      <c r="D64">
        <v>0.17</v>
      </c>
      <c r="E64" s="4" t="s">
        <v>22</v>
      </c>
      <c r="G64" s="49" t="s">
        <v>406</v>
      </c>
      <c r="H64">
        <v>214.28</v>
      </c>
      <c r="I64" s="4" t="s">
        <v>22</v>
      </c>
      <c r="K64" s="5" t="s">
        <v>394</v>
      </c>
      <c r="L64">
        <v>0.91</v>
      </c>
      <c r="M64" s="4" t="s">
        <v>22</v>
      </c>
      <c r="O64" s="49" t="s">
        <v>621</v>
      </c>
      <c r="P64" s="99">
        <v>1.04E-2</v>
      </c>
      <c r="Q64" s="4" t="s">
        <v>22</v>
      </c>
      <c r="S64" s="5" t="s">
        <v>614</v>
      </c>
      <c r="T64" s="12">
        <v>4.0000000000000001E-10</v>
      </c>
      <c r="U64" s="4" t="s">
        <v>86</v>
      </c>
      <c r="W64" s="5" t="s">
        <v>624</v>
      </c>
      <c r="X64" s="12">
        <v>2.7300000000000001E-2</v>
      </c>
      <c r="Y64" s="4" t="s">
        <v>22</v>
      </c>
      <c r="AA64" s="5" t="s">
        <v>473</v>
      </c>
      <c r="AB64" s="98">
        <v>1.8284999999999999E-2</v>
      </c>
      <c r="AC64" s="4" t="s">
        <v>22</v>
      </c>
      <c r="AE64" s="5" t="s">
        <v>644</v>
      </c>
      <c r="AF64">
        <v>0.73660000000000003</v>
      </c>
      <c r="AG64" s="4" t="s">
        <v>22</v>
      </c>
      <c r="AI64" s="5" t="s">
        <v>539</v>
      </c>
      <c r="AJ64" s="12">
        <v>0.70699999999999996</v>
      </c>
      <c r="AK64" s="4" t="s">
        <v>22</v>
      </c>
      <c r="AM64" s="5" t="s">
        <v>663</v>
      </c>
      <c r="AN64" s="12">
        <v>0.08</v>
      </c>
      <c r="AO64" s="4" t="s">
        <v>22</v>
      </c>
      <c r="AQ64" s="5" t="s">
        <v>664</v>
      </c>
      <c r="AR64" s="12">
        <v>1.5E-10</v>
      </c>
      <c r="AS64" s="4" t="s">
        <v>86</v>
      </c>
      <c r="AU64" s="5" t="s">
        <v>654</v>
      </c>
      <c r="AV64">
        <v>4.04</v>
      </c>
      <c r="AW64" s="4" t="s">
        <v>22</v>
      </c>
      <c r="AY64" s="5" t="s">
        <v>614</v>
      </c>
      <c r="AZ64" s="99">
        <v>6.7600000000000004E-10</v>
      </c>
      <c r="BA64" s="4" t="s">
        <v>86</v>
      </c>
      <c r="BC64" s="5" t="s">
        <v>613</v>
      </c>
      <c r="BD64" s="12">
        <v>0.2</v>
      </c>
      <c r="BE64" s="4" t="s">
        <v>216</v>
      </c>
    </row>
    <row r="65" spans="2:57" x14ac:dyDescent="0.25">
      <c r="C65" s="5" t="s">
        <v>524</v>
      </c>
      <c r="D65">
        <f>3.8*10^(-10)</f>
        <v>3.7999999999999998E-10</v>
      </c>
      <c r="E65" s="4" t="s">
        <v>86</v>
      </c>
      <c r="G65" s="49" t="s">
        <v>608</v>
      </c>
      <c r="H65">
        <v>23.89</v>
      </c>
      <c r="I65" s="4" t="s">
        <v>22</v>
      </c>
      <c r="K65" s="5" t="s">
        <v>397</v>
      </c>
      <c r="L65">
        <v>9.0999999999999998E-2</v>
      </c>
      <c r="M65" s="4" t="s">
        <v>22</v>
      </c>
      <c r="O65" s="5" t="s">
        <v>445</v>
      </c>
      <c r="P65" s="98">
        <v>2.7673757E-2</v>
      </c>
      <c r="Q65" s="4" t="s">
        <v>22</v>
      </c>
      <c r="S65" s="5" t="s">
        <v>218</v>
      </c>
      <c r="T65">
        <v>0.177777777</v>
      </c>
      <c r="U65" s="4" t="s">
        <v>22</v>
      </c>
      <c r="W65" s="5" t="s">
        <v>625</v>
      </c>
      <c r="X65" s="12">
        <v>0.01</v>
      </c>
      <c r="Y65" s="4" t="s">
        <v>22</v>
      </c>
      <c r="AA65" s="5" t="s">
        <v>639</v>
      </c>
      <c r="AB65" s="98">
        <v>1.8284999999999999E-2</v>
      </c>
      <c r="AC65" s="4" t="s">
        <v>22</v>
      </c>
      <c r="AE65" s="5" t="s">
        <v>645</v>
      </c>
      <c r="AF65">
        <v>0.66700000000000004</v>
      </c>
      <c r="AG65" s="4" t="s">
        <v>22</v>
      </c>
      <c r="AI65" s="5" t="s">
        <v>613</v>
      </c>
      <c r="AJ65" s="12">
        <v>0.6</v>
      </c>
      <c r="AK65" s="4" t="s">
        <v>216</v>
      </c>
      <c r="AM65" s="5" t="s">
        <v>481</v>
      </c>
      <c r="AN65" s="12">
        <v>0.32</v>
      </c>
      <c r="AO65" s="4" t="s">
        <v>22</v>
      </c>
      <c r="AQ65" s="5" t="s">
        <v>665</v>
      </c>
      <c r="AR65" s="12">
        <v>0.1</v>
      </c>
      <c r="AS65" s="4" t="s">
        <v>216</v>
      </c>
      <c r="AU65" s="5" t="s">
        <v>638</v>
      </c>
      <c r="AV65" s="12">
        <v>1.25E-3</v>
      </c>
      <c r="AW65" s="55" t="s">
        <v>22</v>
      </c>
      <c r="AY65" s="67" t="s">
        <v>544</v>
      </c>
      <c r="AZ65" s="97"/>
      <c r="BA65" s="69"/>
      <c r="BC65" s="5" t="s">
        <v>665</v>
      </c>
      <c r="BD65" s="12">
        <v>0.1</v>
      </c>
      <c r="BE65" s="4" t="s">
        <v>216</v>
      </c>
    </row>
    <row r="66" spans="2:57" ht="15.75" thickBot="1" x14ac:dyDescent="0.3">
      <c r="C66" s="5" t="s">
        <v>535</v>
      </c>
      <c r="D66">
        <v>0.25</v>
      </c>
      <c r="E66" s="4" t="s">
        <v>22</v>
      </c>
      <c r="G66" s="49" t="s">
        <v>609</v>
      </c>
      <c r="H66">
        <v>20.46</v>
      </c>
      <c r="I66" s="4" t="s">
        <v>22</v>
      </c>
      <c r="K66" s="5" t="s">
        <v>557</v>
      </c>
      <c r="L66">
        <v>0.91</v>
      </c>
      <c r="M66" s="4" t="s">
        <v>22</v>
      </c>
      <c r="O66" s="5" t="s">
        <v>468</v>
      </c>
      <c r="P66" s="98">
        <v>7.7499999999999999E-2</v>
      </c>
      <c r="Q66" s="4" t="s">
        <v>22</v>
      </c>
      <c r="S66" s="5" t="s">
        <v>76</v>
      </c>
      <c r="T66">
        <v>1.8311999999999998E-2</v>
      </c>
      <c r="U66" s="4" t="s">
        <v>174</v>
      </c>
      <c r="W66" s="5" t="s">
        <v>626</v>
      </c>
      <c r="X66" s="12">
        <v>5.0400000000000002E-3</v>
      </c>
      <c r="Y66" s="4" t="s">
        <v>22</v>
      </c>
      <c r="AA66" s="5" t="s">
        <v>619</v>
      </c>
      <c r="AB66" s="98">
        <v>6.7790000000000003E-2</v>
      </c>
      <c r="AC66" s="4" t="s">
        <v>22</v>
      </c>
      <c r="AE66" s="5" t="s">
        <v>638</v>
      </c>
      <c r="AF66">
        <v>0.8911</v>
      </c>
      <c r="AG66" s="4" t="s">
        <v>22</v>
      </c>
      <c r="AI66" s="5" t="s">
        <v>612</v>
      </c>
      <c r="AJ66" s="12">
        <v>0.1</v>
      </c>
      <c r="AK66" s="4" t="s">
        <v>216</v>
      </c>
      <c r="AM66" s="5" t="s">
        <v>573</v>
      </c>
      <c r="AN66" s="12">
        <v>2.5000000000000001E-2</v>
      </c>
      <c r="AO66" s="4" t="s">
        <v>22</v>
      </c>
      <c r="AQ66" s="5" t="s">
        <v>613</v>
      </c>
      <c r="AR66" s="12">
        <v>0.2</v>
      </c>
      <c r="AS66" s="4" t="s">
        <v>216</v>
      </c>
      <c r="AU66" s="5" t="s">
        <v>655</v>
      </c>
      <c r="AV66">
        <v>7.44</v>
      </c>
      <c r="AW66" s="55" t="s">
        <v>22</v>
      </c>
      <c r="AY66" s="22" t="s">
        <v>650</v>
      </c>
      <c r="AZ66" s="23">
        <v>1</v>
      </c>
      <c r="BA66" s="24" t="s">
        <v>22</v>
      </c>
      <c r="BC66" s="5" t="s">
        <v>664</v>
      </c>
      <c r="BD66" s="12">
        <v>1.5E-10</v>
      </c>
      <c r="BE66" s="4" t="s">
        <v>86</v>
      </c>
    </row>
    <row r="67" spans="2:57" x14ac:dyDescent="0.25">
      <c r="C67" s="5" t="s">
        <v>537</v>
      </c>
      <c r="D67">
        <f>1.3*10^(-10)</f>
        <v>1.3000000000000002E-10</v>
      </c>
      <c r="E67" s="4" t="s">
        <v>86</v>
      </c>
      <c r="G67" s="5" t="s">
        <v>610</v>
      </c>
      <c r="H67">
        <v>8.3000000000000007</v>
      </c>
      <c r="I67" s="4" t="s">
        <v>22</v>
      </c>
      <c r="K67" s="5" t="s">
        <v>558</v>
      </c>
      <c r="L67" s="12">
        <v>6.7000000000000001E-11</v>
      </c>
      <c r="M67" s="4" t="s">
        <v>86</v>
      </c>
      <c r="O67" s="5" t="s">
        <v>619</v>
      </c>
      <c r="P67" s="98">
        <v>7.7499999999999999E-2</v>
      </c>
      <c r="Q67" s="4" t="s">
        <v>22</v>
      </c>
      <c r="S67" s="5" t="s">
        <v>611</v>
      </c>
      <c r="T67">
        <v>1.8888</v>
      </c>
      <c r="U67" s="4" t="s">
        <v>26</v>
      </c>
      <c r="W67" s="5" t="s">
        <v>614</v>
      </c>
      <c r="X67" s="12">
        <v>4.0000000000000001E-10</v>
      </c>
      <c r="Y67" s="4" t="s">
        <v>86</v>
      </c>
      <c r="AA67" s="5" t="s">
        <v>468</v>
      </c>
      <c r="AB67" s="98">
        <v>6.7790000000000003E-2</v>
      </c>
      <c r="AC67" s="4" t="s">
        <v>22</v>
      </c>
      <c r="AE67" s="5" t="s">
        <v>218</v>
      </c>
      <c r="AF67">
        <v>3.1716000000000002</v>
      </c>
      <c r="AG67" s="4" t="s">
        <v>22</v>
      </c>
      <c r="AI67" s="5"/>
      <c r="AK67" s="4"/>
      <c r="AM67" s="5" t="s">
        <v>523</v>
      </c>
      <c r="AN67" s="12">
        <v>0.47</v>
      </c>
      <c r="AO67" s="4" t="s">
        <v>22</v>
      </c>
      <c r="AQ67" s="5"/>
      <c r="AS67" s="4"/>
      <c r="AU67" s="5" t="s">
        <v>614</v>
      </c>
      <c r="AV67" s="12">
        <v>4.0000000000000001E-10</v>
      </c>
      <c r="AW67" s="55" t="s">
        <v>86</v>
      </c>
      <c r="AY67" s="98"/>
      <c r="AZ67" s="98"/>
      <c r="BA67" s="98"/>
      <c r="BC67" s="5"/>
      <c r="BE67" s="4"/>
    </row>
    <row r="68" spans="2:57" x14ac:dyDescent="0.25">
      <c r="C68" s="5" t="s">
        <v>526</v>
      </c>
      <c r="D68">
        <v>0.14499999999999999</v>
      </c>
      <c r="E68" s="4" t="s">
        <v>426</v>
      </c>
      <c r="G68" s="5" t="s">
        <v>614</v>
      </c>
      <c r="H68" s="12">
        <v>4.2E-10</v>
      </c>
      <c r="I68" s="4" t="s">
        <v>86</v>
      </c>
      <c r="K68" s="5" t="s">
        <v>526</v>
      </c>
      <c r="L68">
        <v>0.15</v>
      </c>
      <c r="M68" s="4" t="s">
        <v>426</v>
      </c>
      <c r="O68" s="5" t="s">
        <v>524</v>
      </c>
      <c r="P68" s="99">
        <v>4.5800000000000002E-10</v>
      </c>
      <c r="Q68" s="4" t="s">
        <v>86</v>
      </c>
      <c r="S68" s="5" t="s">
        <v>613</v>
      </c>
      <c r="T68">
        <v>0.31885999999999998</v>
      </c>
      <c r="U68" s="4" t="s">
        <v>216</v>
      </c>
      <c r="W68" s="5" t="s">
        <v>218</v>
      </c>
      <c r="X68">
        <v>1.8</v>
      </c>
      <c r="Y68" s="4" t="s">
        <v>22</v>
      </c>
      <c r="AA68" s="5" t="s">
        <v>524</v>
      </c>
      <c r="AB68" s="99">
        <v>4.5800000000000002E-10</v>
      </c>
      <c r="AC68" s="4" t="s">
        <v>86</v>
      </c>
      <c r="AE68" s="5" t="s">
        <v>614</v>
      </c>
      <c r="AF68" s="12">
        <v>3.73E-10</v>
      </c>
      <c r="AG68" s="4" t="s">
        <v>86</v>
      </c>
      <c r="AI68" s="67" t="s">
        <v>544</v>
      </c>
      <c r="AJ68" s="68"/>
      <c r="AK68" s="69"/>
      <c r="AM68" s="5" t="s">
        <v>619</v>
      </c>
      <c r="AN68" s="12">
        <v>0.5</v>
      </c>
      <c r="AO68" s="4" t="s">
        <v>22</v>
      </c>
      <c r="AQ68" s="67" t="s">
        <v>544</v>
      </c>
      <c r="AR68" s="68"/>
      <c r="AS68" s="69"/>
      <c r="AU68" s="5" t="s">
        <v>612</v>
      </c>
      <c r="AV68">
        <v>1.38</v>
      </c>
      <c r="AW68" s="55" t="s">
        <v>216</v>
      </c>
      <c r="BC68" s="67" t="s">
        <v>544</v>
      </c>
      <c r="BD68" s="68"/>
      <c r="BE68" s="69"/>
    </row>
    <row r="69" spans="2:57" ht="15.75" thickBot="1" x14ac:dyDescent="0.3">
      <c r="C69" s="5" t="s">
        <v>527</v>
      </c>
      <c r="D69">
        <v>0.14499999999999999</v>
      </c>
      <c r="E69" s="4" t="s">
        <v>426</v>
      </c>
      <c r="G69" s="5" t="s">
        <v>76</v>
      </c>
      <c r="H69">
        <v>4000</v>
      </c>
      <c r="I69" s="4" t="s">
        <v>174</v>
      </c>
      <c r="K69" s="5" t="s">
        <v>527</v>
      </c>
      <c r="L69">
        <v>0.15</v>
      </c>
      <c r="M69" s="4" t="s">
        <v>426</v>
      </c>
      <c r="O69" s="5" t="s">
        <v>218</v>
      </c>
      <c r="P69" s="98">
        <v>0.36899999999999999</v>
      </c>
      <c r="Q69" s="4" t="s">
        <v>22</v>
      </c>
      <c r="S69" s="5" t="s">
        <v>612</v>
      </c>
      <c r="T69">
        <v>0.15942999999999999</v>
      </c>
      <c r="U69" s="4" t="s">
        <v>216</v>
      </c>
      <c r="W69" s="5" t="s">
        <v>76</v>
      </c>
      <c r="X69" s="12">
        <v>0.55000000000000004</v>
      </c>
      <c r="Y69" s="4" t="s">
        <v>174</v>
      </c>
      <c r="AA69" s="5" t="s">
        <v>613</v>
      </c>
      <c r="AB69" s="98">
        <v>4.6459E-2</v>
      </c>
      <c r="AC69" s="4" t="s">
        <v>216</v>
      </c>
      <c r="AE69" s="5" t="s">
        <v>76</v>
      </c>
      <c r="AF69">
        <v>5.5999999999999999E-3</v>
      </c>
      <c r="AG69" s="4" t="s">
        <v>174</v>
      </c>
      <c r="AI69" s="22" t="s">
        <v>406</v>
      </c>
      <c r="AJ69" s="23">
        <v>1</v>
      </c>
      <c r="AK69" s="24" t="s">
        <v>22</v>
      </c>
      <c r="AM69" s="5" t="s">
        <v>664</v>
      </c>
      <c r="AN69" s="12">
        <v>7.7000000000000006E-11</v>
      </c>
      <c r="AO69" s="4" t="s">
        <v>86</v>
      </c>
      <c r="AQ69" s="22" t="s">
        <v>641</v>
      </c>
      <c r="AR69" s="23">
        <v>1</v>
      </c>
      <c r="AS69" s="24" t="s">
        <v>22</v>
      </c>
      <c r="AU69" s="5" t="s">
        <v>613</v>
      </c>
      <c r="AV69">
        <v>8.27</v>
      </c>
      <c r="AW69" s="4" t="s">
        <v>216</v>
      </c>
      <c r="BC69" s="22" t="s">
        <v>609</v>
      </c>
      <c r="BD69" s="23">
        <v>1</v>
      </c>
      <c r="BE69" s="24" t="s">
        <v>22</v>
      </c>
    </row>
    <row r="70" spans="2:57" x14ac:dyDescent="0.25">
      <c r="C70" s="5"/>
      <c r="E70" s="4"/>
      <c r="G70" s="5" t="s">
        <v>612</v>
      </c>
      <c r="H70">
        <v>0.08</v>
      </c>
      <c r="I70" s="4" t="s">
        <v>216</v>
      </c>
      <c r="K70" s="5"/>
      <c r="M70" s="4"/>
      <c r="O70" s="5" t="s">
        <v>612</v>
      </c>
      <c r="P70" s="98">
        <v>0.1</v>
      </c>
      <c r="Q70" s="4" t="s">
        <v>216</v>
      </c>
      <c r="S70" s="5"/>
      <c r="T70" s="12"/>
      <c r="U70" s="4"/>
      <c r="W70" s="5" t="s">
        <v>611</v>
      </c>
      <c r="X70">
        <v>13.75</v>
      </c>
      <c r="Y70" s="4" t="s">
        <v>26</v>
      </c>
      <c r="AA70" s="5" t="s">
        <v>612</v>
      </c>
      <c r="AB70" s="98">
        <v>9.6610510999999996E-2</v>
      </c>
      <c r="AC70" s="4" t="s">
        <v>216</v>
      </c>
      <c r="AE70" s="5" t="s">
        <v>208</v>
      </c>
      <c r="AF70">
        <v>17.345500000000001</v>
      </c>
      <c r="AG70" s="4" t="s">
        <v>26</v>
      </c>
      <c r="AM70" s="5" t="s">
        <v>537</v>
      </c>
      <c r="AN70" s="12">
        <v>3.4999999999999998E-10</v>
      </c>
      <c r="AO70" s="4" t="s">
        <v>86</v>
      </c>
      <c r="AU70" s="5"/>
      <c r="AW70" s="4"/>
    </row>
    <row r="71" spans="2:57" x14ac:dyDescent="0.25">
      <c r="C71" s="46" t="s">
        <v>161</v>
      </c>
      <c r="D71" s="47"/>
      <c r="E71" s="48"/>
      <c r="G71" s="5" t="s">
        <v>613</v>
      </c>
      <c r="H71">
        <v>0.45</v>
      </c>
      <c r="I71" s="4" t="s">
        <v>216</v>
      </c>
      <c r="K71" s="67" t="s">
        <v>544</v>
      </c>
      <c r="L71" s="68"/>
      <c r="M71" s="69"/>
      <c r="O71" s="5" t="s">
        <v>613</v>
      </c>
      <c r="P71" s="100">
        <v>0.55800000000000005</v>
      </c>
      <c r="Q71" s="4" t="s">
        <v>216</v>
      </c>
      <c r="S71" s="67" t="s">
        <v>544</v>
      </c>
      <c r="T71" s="68"/>
      <c r="U71" s="69"/>
      <c r="W71" s="5" t="s">
        <v>612</v>
      </c>
      <c r="X71" s="12">
        <v>0.105</v>
      </c>
      <c r="Y71" s="4" t="s">
        <v>216</v>
      </c>
      <c r="AA71" s="5"/>
      <c r="AB71" s="98"/>
      <c r="AC71" s="4"/>
      <c r="AE71" s="5" t="s">
        <v>612</v>
      </c>
      <c r="AF71">
        <v>0.63939999999999997</v>
      </c>
      <c r="AG71" s="4" t="s">
        <v>216</v>
      </c>
      <c r="AM71" s="5"/>
      <c r="AO71" s="4"/>
      <c r="AU71" s="67" t="s">
        <v>544</v>
      </c>
      <c r="AV71" s="68"/>
      <c r="AW71" s="69"/>
    </row>
    <row r="72" spans="2:57" ht="15.75" thickBot="1" x14ac:dyDescent="0.3">
      <c r="C72" s="43" t="s">
        <v>606</v>
      </c>
      <c r="D72" s="44">
        <v>1</v>
      </c>
      <c r="E72" s="45" t="s">
        <v>22</v>
      </c>
      <c r="G72" s="5"/>
      <c r="I72" s="4"/>
      <c r="K72" s="22" t="s">
        <v>559</v>
      </c>
      <c r="L72" s="23">
        <v>1</v>
      </c>
      <c r="M72" s="24" t="s">
        <v>22</v>
      </c>
      <c r="O72" s="5"/>
      <c r="P72" s="98"/>
      <c r="Q72" s="4"/>
      <c r="S72" s="25" t="s">
        <v>618</v>
      </c>
      <c r="T72" s="26">
        <v>1</v>
      </c>
      <c r="U72" s="27" t="s">
        <v>22</v>
      </c>
      <c r="W72" s="5" t="s">
        <v>613</v>
      </c>
      <c r="X72" s="12">
        <v>0.627</v>
      </c>
      <c r="Y72" s="4" t="s">
        <v>216</v>
      </c>
      <c r="AA72" s="67" t="s">
        <v>544</v>
      </c>
      <c r="AB72" s="97"/>
      <c r="AC72" s="69"/>
      <c r="AE72" s="5" t="s">
        <v>613</v>
      </c>
      <c r="AF72">
        <v>3.6617999999999999</v>
      </c>
      <c r="AG72" s="4" t="s">
        <v>216</v>
      </c>
      <c r="AM72" s="67" t="s">
        <v>544</v>
      </c>
      <c r="AN72" s="68"/>
      <c r="AO72" s="69"/>
      <c r="AU72" s="25" t="s">
        <v>651</v>
      </c>
      <c r="AV72" s="26">
        <v>1</v>
      </c>
      <c r="AW72" s="27" t="s">
        <v>22</v>
      </c>
    </row>
    <row r="73" spans="2:57" ht="15.75" thickBot="1" x14ac:dyDescent="0.3">
      <c r="C73" s="93"/>
      <c r="D73" s="93"/>
      <c r="E73" s="93"/>
      <c r="G73" s="40" t="s">
        <v>544</v>
      </c>
      <c r="H73" s="54"/>
      <c r="I73" s="51"/>
      <c r="O73" s="40" t="s">
        <v>544</v>
      </c>
      <c r="P73" s="101"/>
      <c r="Q73" s="51"/>
      <c r="S73" s="5" t="s">
        <v>634</v>
      </c>
      <c r="T73">
        <v>4.4443999999999999E-4</v>
      </c>
      <c r="U73" s="4" t="s">
        <v>22</v>
      </c>
      <c r="W73" s="5" t="s">
        <v>629</v>
      </c>
      <c r="X73" s="12">
        <v>0.25</v>
      </c>
      <c r="Y73" s="4" t="s">
        <v>68</v>
      </c>
      <c r="AA73" s="22" t="s">
        <v>615</v>
      </c>
      <c r="AB73" s="23">
        <v>1</v>
      </c>
      <c r="AC73" s="24" t="s">
        <v>22</v>
      </c>
      <c r="AE73" s="5"/>
      <c r="AG73" s="4"/>
      <c r="AM73" s="22" t="s">
        <v>608</v>
      </c>
      <c r="AN73" s="23">
        <v>1</v>
      </c>
      <c r="AO73" s="24" t="s">
        <v>22</v>
      </c>
      <c r="AU73" s="5" t="s">
        <v>657</v>
      </c>
      <c r="AV73" s="12">
        <v>0.26300000000000001</v>
      </c>
      <c r="AW73" s="4" t="s">
        <v>22</v>
      </c>
    </row>
    <row r="74" spans="2:57" ht="15.75" thickBot="1" x14ac:dyDescent="0.3">
      <c r="C74" s="52"/>
      <c r="D74" s="33"/>
      <c r="E74" s="33"/>
      <c r="G74" s="22" t="s">
        <v>607</v>
      </c>
      <c r="H74" s="23">
        <v>158.29</v>
      </c>
      <c r="I74" s="24" t="s">
        <v>617</v>
      </c>
      <c r="O74" s="25" t="s">
        <v>633</v>
      </c>
      <c r="P74" s="102">
        <v>1</v>
      </c>
      <c r="Q74" s="27" t="s">
        <v>22</v>
      </c>
      <c r="S74" s="6" t="s">
        <v>635</v>
      </c>
      <c r="T74" s="7">
        <v>1.77777777E-2</v>
      </c>
      <c r="U74" s="8" t="s">
        <v>68</v>
      </c>
      <c r="W74" s="5"/>
      <c r="Y74" s="4"/>
      <c r="AE74" s="67" t="s">
        <v>544</v>
      </c>
      <c r="AF74" s="68"/>
      <c r="AG74" s="69"/>
      <c r="AU74" s="5" t="s">
        <v>658</v>
      </c>
      <c r="AV74">
        <v>8.69</v>
      </c>
      <c r="AW74" s="4" t="s">
        <v>22</v>
      </c>
      <c r="AY74" s="68"/>
      <c r="AZ74" s="68"/>
      <c r="BA74" s="68"/>
    </row>
    <row r="75" spans="2:57" ht="15.75" thickBot="1" x14ac:dyDescent="0.3">
      <c r="C75" s="42"/>
      <c r="D75" s="31"/>
      <c r="E75" s="31"/>
      <c r="O75" s="6" t="s">
        <v>636</v>
      </c>
      <c r="P75" s="7">
        <v>0.36898343099999997</v>
      </c>
      <c r="Q75" s="8" t="s">
        <v>22</v>
      </c>
      <c r="W75" s="67" t="s">
        <v>544</v>
      </c>
      <c r="X75" s="68"/>
      <c r="Y75" s="69"/>
      <c r="AE75" s="25" t="s">
        <v>641</v>
      </c>
      <c r="AF75" s="26">
        <v>1</v>
      </c>
      <c r="AG75" s="27" t="s">
        <v>22</v>
      </c>
      <c r="AU75" s="6" t="s">
        <v>659</v>
      </c>
      <c r="AV75" s="50">
        <v>3.6099999999999999E-3</v>
      </c>
      <c r="AW75" s="8" t="s">
        <v>68</v>
      </c>
      <c r="AY75" s="26"/>
      <c r="AZ75" s="26"/>
      <c r="BA75" s="26"/>
    </row>
    <row r="76" spans="2:57" x14ac:dyDescent="0.25">
      <c r="C76" s="42"/>
      <c r="D76" s="31"/>
      <c r="E76" s="31"/>
      <c r="W76" s="25" t="s">
        <v>621</v>
      </c>
      <c r="X76" s="26">
        <v>1</v>
      </c>
      <c r="Y76" s="27" t="s">
        <v>22</v>
      </c>
      <c r="AE76" s="5" t="s">
        <v>647</v>
      </c>
      <c r="AF76">
        <v>3.1775000000000002</v>
      </c>
      <c r="AG76" s="4" t="s">
        <v>22</v>
      </c>
    </row>
    <row r="77" spans="2:57" x14ac:dyDescent="0.25">
      <c r="C77" s="42"/>
      <c r="D77" s="31"/>
      <c r="E77" s="31"/>
      <c r="W77" s="5" t="s">
        <v>630</v>
      </c>
      <c r="X77">
        <v>15.73</v>
      </c>
      <c r="Y77" s="55" t="s">
        <v>26</v>
      </c>
      <c r="AE77" s="5" t="s">
        <v>191</v>
      </c>
      <c r="AF77">
        <v>3.1716000000000002</v>
      </c>
      <c r="AG77" s="4" t="s">
        <v>22</v>
      </c>
    </row>
    <row r="78" spans="2:57" x14ac:dyDescent="0.25">
      <c r="C78" s="42"/>
      <c r="D78" s="31"/>
      <c r="E78" s="31"/>
      <c r="W78" s="5" t="s">
        <v>571</v>
      </c>
      <c r="X78" s="12">
        <v>1.44E-2</v>
      </c>
      <c r="Y78" s="55" t="s">
        <v>22</v>
      </c>
      <c r="AE78" s="5" t="s">
        <v>586</v>
      </c>
      <c r="AF78">
        <v>0.29049999999999998</v>
      </c>
      <c r="AG78" s="4" t="s">
        <v>22</v>
      </c>
    </row>
    <row r="79" spans="2:57" ht="15.75" thickBot="1" x14ac:dyDescent="0.3">
      <c r="B79" t="s">
        <v>83</v>
      </c>
      <c r="C79" t="s">
        <v>541</v>
      </c>
      <c r="W79" s="6" t="s">
        <v>631</v>
      </c>
      <c r="X79" s="7">
        <v>1.8</v>
      </c>
      <c r="Y79" s="8" t="s">
        <v>68</v>
      </c>
      <c r="AE79" s="6" t="s">
        <v>630</v>
      </c>
      <c r="AF79" s="7">
        <v>17.365600000000001</v>
      </c>
      <c r="AG79" s="8" t="s">
        <v>26</v>
      </c>
    </row>
    <row r="80" spans="2:57" x14ac:dyDescent="0.25">
      <c r="C80" t="s">
        <v>552</v>
      </c>
    </row>
    <row r="81" spans="3:59" x14ac:dyDescent="0.25">
      <c r="C81" t="s">
        <v>667</v>
      </c>
      <c r="X81" s="12"/>
    </row>
    <row r="82" spans="3:59" x14ac:dyDescent="0.25">
      <c r="C82" t="s">
        <v>668</v>
      </c>
      <c r="BG82" s="12"/>
    </row>
    <row r="83" spans="3:59" x14ac:dyDescent="0.25">
      <c r="C83" t="s">
        <v>671</v>
      </c>
      <c r="BG83" s="12"/>
    </row>
    <row r="84" spans="3:59" x14ac:dyDescent="0.25">
      <c r="C84" t="s">
        <v>600</v>
      </c>
      <c r="BG84" s="12"/>
    </row>
    <row r="85" spans="3:59" x14ac:dyDescent="0.25">
      <c r="C85" t="s">
        <v>672</v>
      </c>
    </row>
    <row r="86" spans="3:59" x14ac:dyDescent="0.25">
      <c r="C86" t="s">
        <v>674</v>
      </c>
    </row>
    <row r="88" spans="3:59" x14ac:dyDescent="0.25">
      <c r="AZ88" s="12"/>
    </row>
    <row r="89" spans="3:59" x14ac:dyDescent="0.25">
      <c r="AD89" s="12"/>
      <c r="AZ89" s="12"/>
    </row>
    <row r="90" spans="3:59" x14ac:dyDescent="0.25">
      <c r="AD90" s="12"/>
      <c r="AZ90" s="12"/>
    </row>
    <row r="91" spans="3:59" x14ac:dyDescent="0.25">
      <c r="AD91" s="12"/>
      <c r="AW91" s="12"/>
      <c r="AZ91" s="12"/>
    </row>
    <row r="92" spans="3:59" x14ac:dyDescent="0.25">
      <c r="AD92" s="12"/>
      <c r="AI92" s="12"/>
      <c r="AZ92" s="12"/>
    </row>
    <row r="93" spans="3:59" x14ac:dyDescent="0.25">
      <c r="AC93" s="12"/>
      <c r="AD93" s="12"/>
    </row>
    <row r="94" spans="3:59" x14ac:dyDescent="0.25">
      <c r="N94" s="12"/>
      <c r="AD94" s="12"/>
    </row>
    <row r="95" spans="3:59" x14ac:dyDescent="0.25">
      <c r="AI95" s="12"/>
      <c r="AJ95" s="12"/>
    </row>
    <row r="96" spans="3:59" x14ac:dyDescent="0.25">
      <c r="AD96" s="12"/>
      <c r="AF96" s="12"/>
      <c r="AJ96" s="12"/>
    </row>
    <row r="97" spans="30:46" x14ac:dyDescent="0.25">
      <c r="AI97" s="12"/>
      <c r="AJ97" s="12"/>
    </row>
    <row r="98" spans="30:46" x14ac:dyDescent="0.25">
      <c r="AD98" s="12"/>
      <c r="AI98" s="12"/>
      <c r="AJ98" s="12"/>
      <c r="AT98" s="12"/>
    </row>
    <row r="99" spans="30:46" x14ac:dyDescent="0.25">
      <c r="AD99" s="12"/>
      <c r="AJ99" s="12"/>
      <c r="AT99" s="12"/>
    </row>
    <row r="100" spans="30:46" x14ac:dyDescent="0.25">
      <c r="AT100" s="12"/>
    </row>
    <row r="101" spans="30:46" x14ac:dyDescent="0.25">
      <c r="AT101" s="12"/>
    </row>
  </sheetData>
  <mergeCells count="67">
    <mergeCell ref="AY59:BA59"/>
    <mergeCell ref="AY60:BA60"/>
    <mergeCell ref="AY74:BA74"/>
    <mergeCell ref="AY65:BA65"/>
    <mergeCell ref="BC59:BE59"/>
    <mergeCell ref="BC60:BE60"/>
    <mergeCell ref="BC68:BE68"/>
    <mergeCell ref="AU71:AW71"/>
    <mergeCell ref="AI59:AK59"/>
    <mergeCell ref="AI60:AK60"/>
    <mergeCell ref="AI68:AK68"/>
    <mergeCell ref="AM59:AO59"/>
    <mergeCell ref="AM60:AO60"/>
    <mergeCell ref="AQ59:AS59"/>
    <mergeCell ref="AQ60:AS60"/>
    <mergeCell ref="AQ68:AS68"/>
    <mergeCell ref="AU59:AW59"/>
    <mergeCell ref="AU60:AW60"/>
    <mergeCell ref="AM72:AO72"/>
    <mergeCell ref="AE59:AG59"/>
    <mergeCell ref="AE60:AG60"/>
    <mergeCell ref="W75:Y75"/>
    <mergeCell ref="AA72:AC72"/>
    <mergeCell ref="AE74:AG74"/>
    <mergeCell ref="W59:Y59"/>
    <mergeCell ref="W60:Y60"/>
    <mergeCell ref="AA59:AC59"/>
    <mergeCell ref="AA60:AC60"/>
    <mergeCell ref="O59:Q59"/>
    <mergeCell ref="O60:Q60"/>
    <mergeCell ref="S59:U59"/>
    <mergeCell ref="S60:U60"/>
    <mergeCell ref="S71:U71"/>
    <mergeCell ref="B2:C2"/>
    <mergeCell ref="C3:C5"/>
    <mergeCell ref="B7:E7"/>
    <mergeCell ref="G7:L7"/>
    <mergeCell ref="B8:D8"/>
    <mergeCell ref="G8:I8"/>
    <mergeCell ref="B33:E33"/>
    <mergeCell ref="G33:L33"/>
    <mergeCell ref="B34:D34"/>
    <mergeCell ref="G34:I34"/>
    <mergeCell ref="B9:D9"/>
    <mergeCell ref="G9:I9"/>
    <mergeCell ref="H10:L10"/>
    <mergeCell ref="B11:E11"/>
    <mergeCell ref="I11:J11"/>
    <mergeCell ref="K11:L11"/>
    <mergeCell ref="G35:I35"/>
    <mergeCell ref="H36:L36"/>
    <mergeCell ref="B37:E37"/>
    <mergeCell ref="I37:J37"/>
    <mergeCell ref="K37:L37"/>
    <mergeCell ref="K71:M71"/>
    <mergeCell ref="C73:E73"/>
    <mergeCell ref="B13:B22"/>
    <mergeCell ref="B23:B28"/>
    <mergeCell ref="C59:E59"/>
    <mergeCell ref="G59:I59"/>
    <mergeCell ref="K59:M59"/>
    <mergeCell ref="C60:E60"/>
    <mergeCell ref="G60:I60"/>
    <mergeCell ref="K60:M60"/>
    <mergeCell ref="B39:B46"/>
    <mergeCell ref="B47:B52"/>
    <mergeCell ref="B35:D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82D1E-B92F-433B-80BB-891F8359DFE6}">
  <dimension ref="B2:J81"/>
  <sheetViews>
    <sheetView workbookViewId="0">
      <selection activeCell="N8" sqref="N8"/>
    </sheetView>
  </sheetViews>
  <sheetFormatPr defaultRowHeight="15" x14ac:dyDescent="0.25"/>
  <cols>
    <col min="2" max="2" width="12.7109375" customWidth="1"/>
    <col min="3" max="3" width="141.7109375" customWidth="1"/>
    <col min="7" max="7" width="36.85546875" customWidth="1"/>
    <col min="8" max="8" width="12.42578125" customWidth="1"/>
    <col min="9" max="9" width="12.28515625" customWidth="1"/>
    <col min="10" max="10" width="37.5703125" customWidth="1"/>
  </cols>
  <sheetData>
    <row r="2" spans="2:10" x14ac:dyDescent="0.25">
      <c r="B2" s="82" t="s">
        <v>108</v>
      </c>
      <c r="C2" s="82"/>
      <c r="D2" s="1" t="s">
        <v>107</v>
      </c>
    </row>
    <row r="3" spans="2:10" x14ac:dyDescent="0.25">
      <c r="D3" t="s">
        <v>122</v>
      </c>
    </row>
    <row r="5" spans="2:10" ht="15.75" thickBot="1" x14ac:dyDescent="0.3"/>
    <row r="6" spans="2:10" x14ac:dyDescent="0.25">
      <c r="B6" s="70" t="s">
        <v>0</v>
      </c>
      <c r="C6" s="71"/>
      <c r="D6" s="71"/>
      <c r="E6" s="72"/>
      <c r="G6" s="70" t="s">
        <v>15</v>
      </c>
      <c r="H6" s="71"/>
      <c r="I6" s="71"/>
      <c r="J6" s="72"/>
    </row>
    <row r="7" spans="2:10" x14ac:dyDescent="0.25">
      <c r="B7" s="61" t="s">
        <v>6</v>
      </c>
      <c r="C7" s="63"/>
      <c r="D7" s="63"/>
      <c r="E7" s="4" t="s">
        <v>105</v>
      </c>
      <c r="G7" s="61" t="s">
        <v>35</v>
      </c>
      <c r="H7" s="63"/>
      <c r="I7" s="63"/>
      <c r="J7" s="4">
        <v>5</v>
      </c>
    </row>
    <row r="8" spans="2:10" x14ac:dyDescent="0.25">
      <c r="B8" s="61" t="s">
        <v>5</v>
      </c>
      <c r="C8" s="63"/>
      <c r="D8" s="63"/>
      <c r="E8" s="4" t="s">
        <v>8</v>
      </c>
      <c r="G8" s="61" t="s">
        <v>5</v>
      </c>
      <c r="H8" s="63"/>
      <c r="I8" s="63"/>
      <c r="J8" s="4" t="s">
        <v>8</v>
      </c>
    </row>
    <row r="9" spans="2:10" x14ac:dyDescent="0.25">
      <c r="B9" s="19"/>
      <c r="C9" s="20"/>
      <c r="D9" s="20"/>
      <c r="E9" s="11"/>
      <c r="G9" s="61" t="s">
        <v>70</v>
      </c>
      <c r="H9" s="63"/>
      <c r="I9" s="63"/>
      <c r="J9" s="4" t="s">
        <v>85</v>
      </c>
    </row>
    <row r="10" spans="2:10" x14ac:dyDescent="0.25">
      <c r="B10" s="67" t="s">
        <v>7</v>
      </c>
      <c r="C10" s="68"/>
      <c r="D10" s="68"/>
      <c r="E10" s="69"/>
      <c r="G10" s="61" t="s">
        <v>18</v>
      </c>
      <c r="H10" s="63"/>
      <c r="I10" s="63"/>
      <c r="J10" s="4" t="s">
        <v>20</v>
      </c>
    </row>
    <row r="11" spans="2:10" x14ac:dyDescent="0.25">
      <c r="B11" s="5" t="s">
        <v>9</v>
      </c>
      <c r="C11" t="s">
        <v>10</v>
      </c>
      <c r="D11" t="s">
        <v>11</v>
      </c>
      <c r="E11" s="4" t="s">
        <v>12</v>
      </c>
      <c r="G11" s="9" t="s">
        <v>16</v>
      </c>
      <c r="H11" s="10" t="s">
        <v>12</v>
      </c>
      <c r="I11" s="10" t="s">
        <v>17</v>
      </c>
      <c r="J11" s="11" t="s">
        <v>36</v>
      </c>
    </row>
    <row r="12" spans="2:10" x14ac:dyDescent="0.25">
      <c r="B12" s="5"/>
      <c r="C12" s="56" t="s">
        <v>673</v>
      </c>
      <c r="D12">
        <v>0.01</v>
      </c>
      <c r="E12" s="4" t="s">
        <v>86</v>
      </c>
      <c r="G12" s="5" t="s">
        <v>38</v>
      </c>
      <c r="H12" t="s">
        <v>39</v>
      </c>
      <c r="I12">
        <v>1397.3770999999999</v>
      </c>
      <c r="J12" s="4">
        <f>I12/$J$7</f>
        <v>279.47541999999999</v>
      </c>
    </row>
    <row r="13" spans="2:10" x14ac:dyDescent="0.25">
      <c r="B13" s="5"/>
      <c r="C13" t="s">
        <v>87</v>
      </c>
      <c r="D13">
        <v>7.4399999999999994E-2</v>
      </c>
      <c r="E13" s="4" t="s">
        <v>22</v>
      </c>
      <c r="G13" s="5" t="s">
        <v>40</v>
      </c>
      <c r="H13" t="s">
        <v>41</v>
      </c>
      <c r="I13">
        <v>1.7420572E-3</v>
      </c>
      <c r="J13" s="4">
        <f t="shared" ref="J13:J29" si="0">I13/$J$7</f>
        <v>3.4841144E-4</v>
      </c>
    </row>
    <row r="14" spans="2:10" x14ac:dyDescent="0.25">
      <c r="B14" s="5"/>
      <c r="C14" t="s">
        <v>88</v>
      </c>
      <c r="D14" s="12">
        <v>0.223</v>
      </c>
      <c r="E14" s="4" t="s">
        <v>22</v>
      </c>
      <c r="G14" s="5" t="s">
        <v>42</v>
      </c>
      <c r="H14" t="s">
        <v>43</v>
      </c>
      <c r="I14">
        <v>47.027802999999999</v>
      </c>
      <c r="J14" s="4">
        <f t="shared" si="0"/>
        <v>9.4055605999999994</v>
      </c>
    </row>
    <row r="15" spans="2:10" x14ac:dyDescent="0.25">
      <c r="B15" s="5"/>
      <c r="C15" t="s">
        <v>89</v>
      </c>
      <c r="D15" s="12">
        <v>0.29799999999999999</v>
      </c>
      <c r="E15" s="4" t="s">
        <v>22</v>
      </c>
      <c r="G15" s="5" t="s">
        <v>44</v>
      </c>
      <c r="H15" t="s">
        <v>45</v>
      </c>
      <c r="I15">
        <v>18.413595999999998</v>
      </c>
      <c r="J15" s="4">
        <f t="shared" si="0"/>
        <v>3.6827191999999997</v>
      </c>
    </row>
    <row r="16" spans="2:10" x14ac:dyDescent="0.25">
      <c r="B16" s="5"/>
      <c r="C16" t="s">
        <v>90</v>
      </c>
      <c r="D16">
        <v>7.44</v>
      </c>
      <c r="E16" s="4" t="s">
        <v>22</v>
      </c>
      <c r="G16" s="5" t="s">
        <v>46</v>
      </c>
      <c r="H16" t="s">
        <v>47</v>
      </c>
      <c r="I16">
        <v>5.5496641999999996</v>
      </c>
      <c r="J16" s="4">
        <f t="shared" si="0"/>
        <v>1.1099328399999999</v>
      </c>
    </row>
    <row r="17" spans="2:10" x14ac:dyDescent="0.25">
      <c r="B17" s="5"/>
      <c r="C17" t="s">
        <v>91</v>
      </c>
      <c r="D17">
        <v>1.488E-3</v>
      </c>
      <c r="E17" s="4" t="s">
        <v>22</v>
      </c>
      <c r="G17" s="5" t="s">
        <v>48</v>
      </c>
      <c r="H17" t="s">
        <v>45</v>
      </c>
      <c r="I17">
        <v>18.875454999999999</v>
      </c>
      <c r="J17" s="4">
        <f t="shared" si="0"/>
        <v>3.7750909999999998</v>
      </c>
    </row>
    <row r="18" spans="2:10" x14ac:dyDescent="0.25">
      <c r="B18" s="5"/>
      <c r="C18" t="s">
        <v>92</v>
      </c>
      <c r="D18">
        <v>0.29759999999999998</v>
      </c>
      <c r="E18" s="4" t="s">
        <v>22</v>
      </c>
      <c r="G18" s="5" t="s">
        <v>49</v>
      </c>
      <c r="H18" t="s">
        <v>50</v>
      </c>
      <c r="I18">
        <v>14.018783000000001</v>
      </c>
      <c r="J18" s="4">
        <f t="shared" si="0"/>
        <v>2.8037566000000003</v>
      </c>
    </row>
    <row r="19" spans="2:10" x14ac:dyDescent="0.25">
      <c r="B19" s="5"/>
      <c r="C19" t="s">
        <v>93</v>
      </c>
      <c r="D19">
        <v>7.4399999999999994E-2</v>
      </c>
      <c r="E19" s="4" t="s">
        <v>22</v>
      </c>
      <c r="G19" s="5" t="s">
        <v>51</v>
      </c>
      <c r="H19" t="s">
        <v>52</v>
      </c>
      <c r="I19">
        <v>11.525261</v>
      </c>
      <c r="J19" s="4">
        <f t="shared" si="0"/>
        <v>2.3050522</v>
      </c>
    </row>
    <row r="20" spans="2:10" x14ac:dyDescent="0.25">
      <c r="B20" s="5"/>
      <c r="C20" t="s">
        <v>94</v>
      </c>
      <c r="D20">
        <v>7.44</v>
      </c>
      <c r="E20" s="4" t="s">
        <v>22</v>
      </c>
      <c r="G20" s="5" t="s">
        <v>53</v>
      </c>
      <c r="H20" t="s">
        <v>54</v>
      </c>
      <c r="I20">
        <v>0.11748096</v>
      </c>
      <c r="J20" s="4">
        <f t="shared" si="0"/>
        <v>2.3496191999999999E-2</v>
      </c>
    </row>
    <row r="21" spans="2:10" x14ac:dyDescent="0.25">
      <c r="B21" s="5"/>
      <c r="C21" t="s">
        <v>95</v>
      </c>
      <c r="D21">
        <v>79.7821</v>
      </c>
      <c r="E21" s="4" t="s">
        <v>26</v>
      </c>
      <c r="G21" s="5" t="s">
        <v>55</v>
      </c>
      <c r="H21" t="s">
        <v>56</v>
      </c>
      <c r="I21">
        <v>7204.2172</v>
      </c>
      <c r="J21" s="4">
        <f t="shared" si="0"/>
        <v>1440.8434400000001</v>
      </c>
    </row>
    <row r="22" spans="2:10" x14ac:dyDescent="0.25">
      <c r="B22" s="5"/>
      <c r="C22" t="s">
        <v>96</v>
      </c>
      <c r="D22">
        <v>0.347634</v>
      </c>
      <c r="E22" s="4" t="s">
        <v>22</v>
      </c>
      <c r="G22" s="5" t="s">
        <v>57</v>
      </c>
      <c r="H22" t="s">
        <v>56</v>
      </c>
      <c r="I22">
        <v>8172.3644000000004</v>
      </c>
      <c r="J22" s="4">
        <f t="shared" si="0"/>
        <v>1634.47288</v>
      </c>
    </row>
    <row r="23" spans="2:10" x14ac:dyDescent="0.25">
      <c r="B23" s="5"/>
      <c r="C23" t="s">
        <v>97</v>
      </c>
      <c r="D23">
        <v>109.67870000000001</v>
      </c>
      <c r="E23" s="4" t="s">
        <v>26</v>
      </c>
      <c r="G23" s="5" t="s">
        <v>58</v>
      </c>
      <c r="H23" t="s">
        <v>56</v>
      </c>
      <c r="I23">
        <v>10504.034</v>
      </c>
      <c r="J23" s="4">
        <f t="shared" si="0"/>
        <v>2100.8067999999998</v>
      </c>
    </row>
    <row r="24" spans="2:10" x14ac:dyDescent="0.25">
      <c r="B24" s="5"/>
      <c r="C24" t="s">
        <v>98</v>
      </c>
      <c r="D24">
        <v>11.298120000000001</v>
      </c>
      <c r="E24" s="4" t="s">
        <v>26</v>
      </c>
      <c r="G24" s="5" t="s">
        <v>59</v>
      </c>
      <c r="H24" t="s">
        <v>56</v>
      </c>
      <c r="I24">
        <v>945.88130000000001</v>
      </c>
      <c r="J24" s="4">
        <f t="shared" si="0"/>
        <v>189.17626000000001</v>
      </c>
    </row>
    <row r="25" spans="2:10" x14ac:dyDescent="0.25">
      <c r="B25" s="3"/>
      <c r="C25" s="2" t="s">
        <v>99</v>
      </c>
      <c r="D25" s="2">
        <v>1.3905380000000001</v>
      </c>
      <c r="E25" s="14" t="s">
        <v>22</v>
      </c>
      <c r="G25" s="5" t="s">
        <v>60</v>
      </c>
      <c r="H25" t="s">
        <v>56</v>
      </c>
      <c r="I25">
        <v>133901.70000000001</v>
      </c>
      <c r="J25" s="4">
        <f t="shared" si="0"/>
        <v>26780.340000000004</v>
      </c>
    </row>
    <row r="26" spans="2:10" ht="15.75" thickBot="1" x14ac:dyDescent="0.3">
      <c r="B26" s="6"/>
      <c r="C26" s="7" t="s">
        <v>120</v>
      </c>
      <c r="D26" s="7">
        <v>0.173817</v>
      </c>
      <c r="E26" s="8" t="s">
        <v>22</v>
      </c>
      <c r="G26" s="5" t="s">
        <v>61</v>
      </c>
      <c r="H26" t="s">
        <v>62</v>
      </c>
      <c r="I26">
        <v>130.31730999999999</v>
      </c>
      <c r="J26" s="4">
        <f t="shared" si="0"/>
        <v>26.063461999999998</v>
      </c>
    </row>
    <row r="27" spans="2:10" x14ac:dyDescent="0.25">
      <c r="G27" s="5" t="s">
        <v>63</v>
      </c>
      <c r="H27" t="s">
        <v>64</v>
      </c>
      <c r="I27">
        <v>415.18808999999999</v>
      </c>
      <c r="J27" s="4">
        <f t="shared" si="0"/>
        <v>83.037617999999995</v>
      </c>
    </row>
    <row r="28" spans="2:10" x14ac:dyDescent="0.25">
      <c r="B28" s="17"/>
      <c r="C28" s="17"/>
      <c r="D28" s="17"/>
      <c r="E28" s="17"/>
      <c r="G28" s="5" t="s">
        <v>65</v>
      </c>
      <c r="H28" t="s">
        <v>66</v>
      </c>
      <c r="I28">
        <v>394.73421000000002</v>
      </c>
      <c r="J28" s="4">
        <f t="shared" si="0"/>
        <v>78.946842000000004</v>
      </c>
    </row>
    <row r="29" spans="2:10" ht="15.75" thickBot="1" x14ac:dyDescent="0.3">
      <c r="D29" s="12"/>
      <c r="G29" s="6" t="s">
        <v>67</v>
      </c>
      <c r="H29" s="7" t="s">
        <v>68</v>
      </c>
      <c r="I29" s="7">
        <v>11.197252000000001</v>
      </c>
      <c r="J29" s="8">
        <f t="shared" si="0"/>
        <v>2.2394504</v>
      </c>
    </row>
    <row r="31" spans="2:10" ht="15.75" thickBot="1" x14ac:dyDescent="0.3"/>
    <row r="32" spans="2:10" x14ac:dyDescent="0.25">
      <c r="B32" s="64" t="s">
        <v>1</v>
      </c>
      <c r="C32" s="65"/>
      <c r="D32" s="65"/>
      <c r="E32" s="66"/>
      <c r="G32" s="64" t="s">
        <v>69</v>
      </c>
      <c r="H32" s="65"/>
      <c r="I32" s="65"/>
      <c r="J32" s="66"/>
    </row>
    <row r="33" spans="2:10" x14ac:dyDescent="0.25">
      <c r="B33" s="61" t="s">
        <v>13</v>
      </c>
      <c r="C33" s="63"/>
      <c r="D33" s="63"/>
      <c r="E33" s="4" t="s">
        <v>106</v>
      </c>
      <c r="G33" s="61" t="s">
        <v>37</v>
      </c>
      <c r="H33" s="63"/>
      <c r="I33" s="63"/>
      <c r="J33" s="4">
        <v>20</v>
      </c>
    </row>
    <row r="34" spans="2:10" x14ac:dyDescent="0.25">
      <c r="B34" s="61" t="s">
        <v>14</v>
      </c>
      <c r="C34" s="63"/>
      <c r="D34" s="63"/>
      <c r="E34" s="4" t="s">
        <v>8</v>
      </c>
      <c r="G34" s="61" t="s">
        <v>14</v>
      </c>
      <c r="H34" s="63"/>
      <c r="I34" s="63"/>
      <c r="J34" s="4" t="s">
        <v>8</v>
      </c>
    </row>
    <row r="35" spans="2:10" x14ac:dyDescent="0.25">
      <c r="B35" s="19"/>
      <c r="C35" s="20"/>
      <c r="D35" s="20"/>
      <c r="E35" s="11"/>
      <c r="G35" s="61" t="s">
        <v>70</v>
      </c>
      <c r="H35" s="63"/>
      <c r="I35" s="63"/>
      <c r="J35" s="4" t="s">
        <v>85</v>
      </c>
    </row>
    <row r="36" spans="2:10" x14ac:dyDescent="0.25">
      <c r="B36" s="67" t="s">
        <v>7</v>
      </c>
      <c r="C36" s="68"/>
      <c r="D36" s="68"/>
      <c r="E36" s="69"/>
      <c r="G36" s="61" t="s">
        <v>18</v>
      </c>
      <c r="H36" s="63"/>
      <c r="I36" s="63"/>
      <c r="J36" s="4" t="s">
        <v>20</v>
      </c>
    </row>
    <row r="37" spans="2:10" x14ac:dyDescent="0.25">
      <c r="B37" s="5" t="s">
        <v>9</v>
      </c>
      <c r="C37" t="s">
        <v>10</v>
      </c>
      <c r="D37" t="s">
        <v>11</v>
      </c>
      <c r="E37" s="4" t="s">
        <v>12</v>
      </c>
      <c r="G37" s="9" t="s">
        <v>16</v>
      </c>
      <c r="H37" s="10" t="s">
        <v>12</v>
      </c>
      <c r="I37" s="10" t="s">
        <v>17</v>
      </c>
      <c r="J37" s="11" t="s">
        <v>19</v>
      </c>
    </row>
    <row r="38" spans="2:10" x14ac:dyDescent="0.25">
      <c r="B38" s="5"/>
      <c r="C38" t="s">
        <v>100</v>
      </c>
      <c r="D38">
        <v>7.44</v>
      </c>
      <c r="E38" s="4" t="s">
        <v>22</v>
      </c>
      <c r="G38" s="5" t="s">
        <v>38</v>
      </c>
      <c r="H38" t="s">
        <v>39</v>
      </c>
      <c r="I38">
        <v>2288.8310000000001</v>
      </c>
      <c r="J38" s="4">
        <f t="shared" ref="J38:J48" si="1">I38/$J$33</f>
        <v>114.44155000000001</v>
      </c>
    </row>
    <row r="39" spans="2:10" x14ac:dyDescent="0.25">
      <c r="B39" s="5"/>
      <c r="C39" t="s">
        <v>95</v>
      </c>
      <c r="D39">
        <v>3335.1779999999999</v>
      </c>
      <c r="E39" s="4" t="s">
        <v>26</v>
      </c>
      <c r="G39" s="5" t="s">
        <v>40</v>
      </c>
      <c r="H39" t="s">
        <v>41</v>
      </c>
      <c r="I39">
        <v>6.3900287000000005E-4</v>
      </c>
      <c r="J39" s="4">
        <f t="shared" si="1"/>
        <v>3.19501435E-5</v>
      </c>
    </row>
    <row r="40" spans="2:10" x14ac:dyDescent="0.25">
      <c r="B40" s="5"/>
      <c r="C40" t="s">
        <v>96</v>
      </c>
      <c r="D40">
        <v>14.53</v>
      </c>
      <c r="E40" s="4" t="s">
        <v>22</v>
      </c>
      <c r="G40" s="5" t="s">
        <v>42</v>
      </c>
      <c r="H40" t="s">
        <v>43</v>
      </c>
      <c r="I40">
        <v>96.149009000000007</v>
      </c>
      <c r="J40" s="4">
        <f t="shared" si="1"/>
        <v>4.8074504500000002</v>
      </c>
    </row>
    <row r="41" spans="2:10" x14ac:dyDescent="0.25">
      <c r="B41" s="5"/>
      <c r="C41" t="s">
        <v>97</v>
      </c>
      <c r="D41">
        <v>4584.96</v>
      </c>
      <c r="E41" s="4" t="s">
        <v>26</v>
      </c>
      <c r="G41" s="5" t="s">
        <v>44</v>
      </c>
      <c r="H41" t="s">
        <v>45</v>
      </c>
      <c r="I41">
        <v>6.3206056999999998</v>
      </c>
      <c r="J41" s="4">
        <f t="shared" si="1"/>
        <v>0.31603028499999997</v>
      </c>
    </row>
    <row r="42" spans="2:10" x14ac:dyDescent="0.25">
      <c r="B42" s="5"/>
      <c r="C42" t="s">
        <v>98</v>
      </c>
      <c r="D42">
        <v>472.3</v>
      </c>
      <c r="E42" s="4" t="s">
        <v>26</v>
      </c>
      <c r="G42" s="5" t="s">
        <v>46</v>
      </c>
      <c r="H42" t="s">
        <v>47</v>
      </c>
      <c r="I42">
        <v>6.5615455999999996</v>
      </c>
      <c r="J42" s="4">
        <f t="shared" si="1"/>
        <v>0.32807727999999997</v>
      </c>
    </row>
    <row r="43" spans="2:10" x14ac:dyDescent="0.25">
      <c r="B43" s="5"/>
      <c r="C43" t="s">
        <v>101</v>
      </c>
      <c r="D43">
        <v>528.24</v>
      </c>
      <c r="E43" s="4" t="s">
        <v>22</v>
      </c>
      <c r="G43" s="5" t="s">
        <v>48</v>
      </c>
      <c r="H43" t="s">
        <v>45</v>
      </c>
      <c r="I43">
        <v>6.5277991999999996</v>
      </c>
      <c r="J43" s="4">
        <f t="shared" si="1"/>
        <v>0.32638995999999998</v>
      </c>
    </row>
    <row r="44" spans="2:10" x14ac:dyDescent="0.25">
      <c r="B44" s="5"/>
      <c r="C44" t="s">
        <v>99</v>
      </c>
      <c r="D44">
        <v>58.13</v>
      </c>
      <c r="E44" s="4" t="s">
        <v>22</v>
      </c>
      <c r="G44" s="5" t="s">
        <v>49</v>
      </c>
      <c r="H44" t="s">
        <v>50</v>
      </c>
      <c r="I44">
        <v>18.171865</v>
      </c>
      <c r="J44" s="4">
        <f t="shared" si="1"/>
        <v>0.90859325000000002</v>
      </c>
    </row>
    <row r="45" spans="2:10" x14ac:dyDescent="0.25">
      <c r="B45" s="5"/>
      <c r="C45" t="s">
        <v>102</v>
      </c>
      <c r="D45">
        <v>0.372</v>
      </c>
      <c r="E45" s="4" t="s">
        <v>22</v>
      </c>
      <c r="G45" s="5" t="s">
        <v>51</v>
      </c>
      <c r="H45" t="s">
        <v>52</v>
      </c>
      <c r="I45">
        <v>1.4500934999999999</v>
      </c>
      <c r="J45" s="4">
        <f t="shared" si="1"/>
        <v>7.2504674999999991E-2</v>
      </c>
    </row>
    <row r="46" spans="2:10" x14ac:dyDescent="0.25">
      <c r="B46" s="5"/>
      <c r="C46" t="s">
        <v>103</v>
      </c>
      <c r="D46">
        <v>44.64</v>
      </c>
      <c r="E46" s="4" t="s">
        <v>22</v>
      </c>
      <c r="G46" s="5" t="s">
        <v>53</v>
      </c>
      <c r="H46" t="s">
        <v>54</v>
      </c>
      <c r="I46">
        <v>7.1508215E-2</v>
      </c>
      <c r="J46" s="4">
        <f t="shared" si="1"/>
        <v>3.5754107499999998E-3</v>
      </c>
    </row>
    <row r="47" spans="2:10" x14ac:dyDescent="0.25">
      <c r="B47" s="5"/>
      <c r="C47" t="s">
        <v>104</v>
      </c>
      <c r="D47">
        <v>81.84</v>
      </c>
      <c r="E47" s="4" t="s">
        <v>22</v>
      </c>
      <c r="G47" s="5" t="s">
        <v>55</v>
      </c>
      <c r="H47" t="s">
        <v>56</v>
      </c>
      <c r="I47">
        <v>41700.690999999999</v>
      </c>
      <c r="J47" s="4">
        <f t="shared" si="1"/>
        <v>2085.0345499999999</v>
      </c>
    </row>
    <row r="48" spans="2:10" ht="15.75" thickBot="1" x14ac:dyDescent="0.3">
      <c r="B48" s="6"/>
      <c r="C48" s="7" t="s">
        <v>120</v>
      </c>
      <c r="D48" s="7">
        <v>7.2661829999999998</v>
      </c>
      <c r="E48" s="8" t="s">
        <v>22</v>
      </c>
      <c r="G48" s="5" t="s">
        <v>57</v>
      </c>
      <c r="H48" t="s">
        <v>56</v>
      </c>
      <c r="I48">
        <v>869.77675999999997</v>
      </c>
      <c r="J48" s="4">
        <f t="shared" si="1"/>
        <v>43.488838000000001</v>
      </c>
    </row>
    <row r="49" spans="2:10" x14ac:dyDescent="0.25">
      <c r="G49" s="5" t="s">
        <v>58</v>
      </c>
      <c r="H49" t="s">
        <v>56</v>
      </c>
      <c r="I49">
        <v>1192.1957</v>
      </c>
      <c r="J49" s="4">
        <f t="shared" ref="J49:J55" si="2">I49/$J$33</f>
        <v>59.609785000000002</v>
      </c>
    </row>
    <row r="50" spans="2:10" x14ac:dyDescent="0.25">
      <c r="B50" s="17"/>
      <c r="C50" s="17"/>
      <c r="D50" s="17"/>
      <c r="E50" s="17"/>
      <c r="G50" s="5" t="s">
        <v>59</v>
      </c>
      <c r="H50" t="s">
        <v>56</v>
      </c>
      <c r="I50">
        <v>715.00040999999999</v>
      </c>
      <c r="J50" s="4">
        <f t="shared" si="2"/>
        <v>35.750020499999998</v>
      </c>
    </row>
    <row r="51" spans="2:10" x14ac:dyDescent="0.25">
      <c r="G51" s="5" t="s">
        <v>60</v>
      </c>
      <c r="H51" t="s">
        <v>56</v>
      </c>
      <c r="I51">
        <v>43154.771999999997</v>
      </c>
      <c r="J51" s="4">
        <f t="shared" si="2"/>
        <v>2157.7385999999997</v>
      </c>
    </row>
    <row r="52" spans="2:10" x14ac:dyDescent="0.25">
      <c r="G52" s="5" t="s">
        <v>61</v>
      </c>
      <c r="H52" t="s">
        <v>62</v>
      </c>
      <c r="I52">
        <v>100.50725</v>
      </c>
      <c r="J52" s="4">
        <f t="shared" si="2"/>
        <v>5.0253625</v>
      </c>
    </row>
    <row r="53" spans="2:10" x14ac:dyDescent="0.25">
      <c r="G53" s="5" t="s">
        <v>63</v>
      </c>
      <c r="H53" t="s">
        <v>64</v>
      </c>
      <c r="I53">
        <v>174.66714999999999</v>
      </c>
      <c r="J53" s="4">
        <f t="shared" si="2"/>
        <v>8.7333575000000003</v>
      </c>
    </row>
    <row r="54" spans="2:10" x14ac:dyDescent="0.25">
      <c r="G54" s="5" t="s">
        <v>65</v>
      </c>
      <c r="H54" t="s">
        <v>66</v>
      </c>
      <c r="I54">
        <v>669.97661000000005</v>
      </c>
      <c r="J54" s="4">
        <f t="shared" si="2"/>
        <v>33.498830500000004</v>
      </c>
    </row>
    <row r="55" spans="2:10" ht="15.75" thickBot="1" x14ac:dyDescent="0.3">
      <c r="G55" s="6" t="s">
        <v>67</v>
      </c>
      <c r="H55" s="7" t="s">
        <v>68</v>
      </c>
      <c r="I55" s="7">
        <v>21.389500999999999</v>
      </c>
      <c r="J55" s="8">
        <f t="shared" si="2"/>
        <v>1.0694750499999999</v>
      </c>
    </row>
    <row r="57" spans="2:10" ht="15.75" thickBot="1" x14ac:dyDescent="0.3"/>
    <row r="58" spans="2:10" x14ac:dyDescent="0.25">
      <c r="B58" s="76" t="s">
        <v>109</v>
      </c>
      <c r="C58" s="77"/>
      <c r="D58" s="77"/>
      <c r="E58" s="77"/>
      <c r="F58" s="78"/>
    </row>
    <row r="59" spans="2:10" x14ac:dyDescent="0.25">
      <c r="B59" s="61" t="s">
        <v>119</v>
      </c>
      <c r="C59" s="63"/>
      <c r="D59" s="16"/>
      <c r="E59" s="16"/>
      <c r="F59" s="4"/>
    </row>
    <row r="60" spans="2:10" x14ac:dyDescent="0.25">
      <c r="B60" s="9" t="s">
        <v>121</v>
      </c>
      <c r="C60" s="15" t="s">
        <v>7</v>
      </c>
      <c r="D60" s="10" t="s">
        <v>118</v>
      </c>
      <c r="E60" s="10" t="s">
        <v>117</v>
      </c>
      <c r="F60" s="11" t="s">
        <v>12</v>
      </c>
    </row>
    <row r="61" spans="2:10" x14ac:dyDescent="0.25">
      <c r="B61" s="5" t="s">
        <v>116</v>
      </c>
      <c r="C61" t="s">
        <v>110</v>
      </c>
      <c r="D61">
        <v>7.2661827896846036</v>
      </c>
      <c r="E61">
        <v>0.17381721031539676</v>
      </c>
      <c r="F61" s="4" t="s">
        <v>22</v>
      </c>
    </row>
    <row r="62" spans="2:10" x14ac:dyDescent="0.25">
      <c r="B62" s="5" t="s">
        <v>117</v>
      </c>
      <c r="C62" t="s">
        <v>111</v>
      </c>
      <c r="E62">
        <v>7.4399999999999994E-2</v>
      </c>
      <c r="F62" s="4" t="s">
        <v>22</v>
      </c>
    </row>
    <row r="63" spans="2:10" x14ac:dyDescent="0.25">
      <c r="B63" s="5" t="s">
        <v>118</v>
      </c>
      <c r="C63" t="s">
        <v>100</v>
      </c>
      <c r="D63">
        <v>7.44</v>
      </c>
      <c r="F63" s="4" t="s">
        <v>22</v>
      </c>
    </row>
    <row r="64" spans="2:10" x14ac:dyDescent="0.25">
      <c r="B64" s="5" t="s">
        <v>117</v>
      </c>
      <c r="C64" t="s">
        <v>112</v>
      </c>
      <c r="E64">
        <v>0.22319999999999998</v>
      </c>
      <c r="F64" s="4" t="s">
        <v>22</v>
      </c>
    </row>
    <row r="65" spans="2:6" x14ac:dyDescent="0.25">
      <c r="B65" s="5" t="s">
        <v>117</v>
      </c>
      <c r="C65" t="s">
        <v>89</v>
      </c>
      <c r="E65">
        <v>0.29760000000000003</v>
      </c>
      <c r="F65" s="4" t="s">
        <v>22</v>
      </c>
    </row>
    <row r="66" spans="2:6" x14ac:dyDescent="0.25">
      <c r="B66" s="5" t="s">
        <v>117</v>
      </c>
      <c r="C66" t="s">
        <v>113</v>
      </c>
      <c r="E66">
        <v>7.44</v>
      </c>
      <c r="F66" s="4" t="s">
        <v>22</v>
      </c>
    </row>
    <row r="67" spans="2:6" x14ac:dyDescent="0.25">
      <c r="B67" s="5" t="s">
        <v>116</v>
      </c>
      <c r="C67" t="s">
        <v>95</v>
      </c>
      <c r="D67">
        <v>3335.1779004652326</v>
      </c>
      <c r="E67">
        <v>79.78209953476744</v>
      </c>
      <c r="F67" s="4" t="s">
        <v>26</v>
      </c>
    </row>
    <row r="68" spans="2:6" x14ac:dyDescent="0.25">
      <c r="B68" s="5" t="s">
        <v>116</v>
      </c>
      <c r="C68" t="s">
        <v>96</v>
      </c>
      <c r="D68">
        <v>14.532365579369207</v>
      </c>
      <c r="E68">
        <v>0.34763442063079353</v>
      </c>
      <c r="F68" s="4" t="s">
        <v>22</v>
      </c>
    </row>
    <row r="69" spans="2:6" x14ac:dyDescent="0.25">
      <c r="B69" s="5" t="s">
        <v>116</v>
      </c>
      <c r="C69" t="s">
        <v>97</v>
      </c>
      <c r="D69">
        <v>4584.9613402909827</v>
      </c>
      <c r="E69">
        <v>109.67865970901676</v>
      </c>
      <c r="F69" s="4" t="s">
        <v>26</v>
      </c>
    </row>
    <row r="70" spans="2:6" x14ac:dyDescent="0.25">
      <c r="B70" s="5" t="s">
        <v>116</v>
      </c>
      <c r="C70" t="s">
        <v>98</v>
      </c>
      <c r="D70">
        <v>472.30188132949917</v>
      </c>
      <c r="E70">
        <v>11.298118670500855</v>
      </c>
      <c r="F70" s="4" t="s">
        <v>26</v>
      </c>
    </row>
    <row r="71" spans="2:6" x14ac:dyDescent="0.25">
      <c r="B71" s="5" t="s">
        <v>117</v>
      </c>
      <c r="C71" t="s">
        <v>91</v>
      </c>
      <c r="E71">
        <v>1.488E-3</v>
      </c>
      <c r="F71" s="4" t="s">
        <v>22</v>
      </c>
    </row>
    <row r="72" spans="2:6" x14ac:dyDescent="0.25">
      <c r="B72" s="5" t="s">
        <v>118</v>
      </c>
      <c r="C72" t="s">
        <v>101</v>
      </c>
      <c r="D72">
        <v>528.24</v>
      </c>
      <c r="F72" s="4" t="s">
        <v>22</v>
      </c>
    </row>
    <row r="73" spans="2:6" x14ac:dyDescent="0.25">
      <c r="B73" s="5" t="s">
        <v>116</v>
      </c>
      <c r="C73" t="s">
        <v>99</v>
      </c>
      <c r="D73">
        <v>58.129462317476829</v>
      </c>
      <c r="E73">
        <v>1.3905376825231741</v>
      </c>
      <c r="F73" s="4" t="s">
        <v>22</v>
      </c>
    </row>
    <row r="74" spans="2:6" x14ac:dyDescent="0.25">
      <c r="B74" s="5" t="s">
        <v>117</v>
      </c>
      <c r="C74" t="s">
        <v>114</v>
      </c>
      <c r="E74">
        <v>0.29760000000000003</v>
      </c>
      <c r="F74" s="4" t="s">
        <v>22</v>
      </c>
    </row>
    <row r="75" spans="2:6" x14ac:dyDescent="0.25">
      <c r="B75" s="5" t="s">
        <v>117</v>
      </c>
      <c r="C75" t="s">
        <v>93</v>
      </c>
      <c r="E75">
        <v>7.4400000000000008E-2</v>
      </c>
      <c r="F75" s="4" t="s">
        <v>22</v>
      </c>
    </row>
    <row r="76" spans="2:6" x14ac:dyDescent="0.25">
      <c r="B76" s="5" t="s">
        <v>118</v>
      </c>
      <c r="C76" t="s">
        <v>115</v>
      </c>
      <c r="D76">
        <v>0.372</v>
      </c>
      <c r="F76" s="4" t="s">
        <v>22</v>
      </c>
    </row>
    <row r="77" spans="2:6" x14ac:dyDescent="0.25">
      <c r="B77" s="5" t="s">
        <v>118</v>
      </c>
      <c r="C77" t="s">
        <v>103</v>
      </c>
      <c r="D77">
        <v>44.64</v>
      </c>
      <c r="F77" s="4" t="s">
        <v>22</v>
      </c>
    </row>
    <row r="78" spans="2:6" x14ac:dyDescent="0.25">
      <c r="B78" s="5" t="s">
        <v>117</v>
      </c>
      <c r="C78" t="s">
        <v>94</v>
      </c>
      <c r="E78">
        <v>7.44</v>
      </c>
      <c r="F78" s="4" t="s">
        <v>22</v>
      </c>
    </row>
    <row r="79" spans="2:6" ht="15.75" thickBot="1" x14ac:dyDescent="0.3">
      <c r="B79" s="6" t="s">
        <v>118</v>
      </c>
      <c r="C79" s="7" t="s">
        <v>104</v>
      </c>
      <c r="D79" s="7">
        <v>81.84</v>
      </c>
      <c r="E79" s="7"/>
      <c r="F79" s="8" t="s">
        <v>22</v>
      </c>
    </row>
    <row r="80" spans="2:6" x14ac:dyDescent="0.25">
      <c r="B80" s="17"/>
      <c r="C80" s="17"/>
      <c r="D80" s="17"/>
      <c r="E80" s="17"/>
    </row>
    <row r="81" spans="2:3" x14ac:dyDescent="0.25">
      <c r="B81" t="s">
        <v>83</v>
      </c>
      <c r="C81" t="s">
        <v>674</v>
      </c>
    </row>
  </sheetData>
  <mergeCells count="21">
    <mergeCell ref="G9:I9"/>
    <mergeCell ref="B10:E10"/>
    <mergeCell ref="G10:I10"/>
    <mergeCell ref="B32:E32"/>
    <mergeCell ref="G32:J32"/>
    <mergeCell ref="B59:C59"/>
    <mergeCell ref="B58:F58"/>
    <mergeCell ref="B2:C2"/>
    <mergeCell ref="B33:D33"/>
    <mergeCell ref="G33:I33"/>
    <mergeCell ref="B34:D34"/>
    <mergeCell ref="G34:I34"/>
    <mergeCell ref="B6:E6"/>
    <mergeCell ref="G6:J6"/>
    <mergeCell ref="B7:D7"/>
    <mergeCell ref="G7:I7"/>
    <mergeCell ref="B8:D8"/>
    <mergeCell ref="G8:I8"/>
    <mergeCell ref="G35:I35"/>
    <mergeCell ref="B36:E36"/>
    <mergeCell ref="G36:I3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F7A5B-1B9B-49DE-B1CE-8810A436A1CE}">
  <dimension ref="B2:DA147"/>
  <sheetViews>
    <sheetView topLeftCell="BO72" workbookViewId="0">
      <selection activeCell="CA114" sqref="CA114"/>
    </sheetView>
  </sheetViews>
  <sheetFormatPr defaultRowHeight="15" x14ac:dyDescent="0.25"/>
  <cols>
    <col min="2" max="2" width="15.7109375" customWidth="1"/>
    <col min="3" max="3" width="36.85546875" customWidth="1"/>
    <col min="7" max="7" width="36.85546875" customWidth="1"/>
    <col min="8" max="8" width="12.42578125" customWidth="1"/>
    <col min="9" max="9" width="12.28515625" customWidth="1"/>
    <col min="10" max="10" width="37.85546875" customWidth="1"/>
    <col min="12" max="12" width="37.85546875" customWidth="1"/>
  </cols>
  <sheetData>
    <row r="2" spans="2:12" x14ac:dyDescent="0.25">
      <c r="B2" s="63" t="s">
        <v>2</v>
      </c>
      <c r="C2" s="63"/>
      <c r="D2" s="1" t="s">
        <v>421</v>
      </c>
    </row>
    <row r="5" spans="2:12" ht="15.75" thickBot="1" x14ac:dyDescent="0.3"/>
    <row r="6" spans="2:12" x14ac:dyDescent="0.25">
      <c r="B6" s="70" t="s">
        <v>0</v>
      </c>
      <c r="C6" s="71"/>
      <c r="D6" s="71"/>
      <c r="E6" s="72"/>
      <c r="G6" s="70" t="s">
        <v>15</v>
      </c>
      <c r="H6" s="71"/>
      <c r="I6" s="71"/>
      <c r="J6" s="71"/>
      <c r="K6" s="71"/>
      <c r="L6" s="72"/>
    </row>
    <row r="7" spans="2:12" x14ac:dyDescent="0.25">
      <c r="B7" s="61" t="s">
        <v>6</v>
      </c>
      <c r="C7" s="63"/>
      <c r="D7" s="63"/>
      <c r="E7" s="4" t="s">
        <v>422</v>
      </c>
      <c r="G7" s="61" t="s">
        <v>35</v>
      </c>
      <c r="H7" s="63"/>
      <c r="I7" s="63"/>
      <c r="J7">
        <v>7.5</v>
      </c>
      <c r="L7" s="4"/>
    </row>
    <row r="8" spans="2:12" x14ac:dyDescent="0.25">
      <c r="B8" s="61" t="s">
        <v>5</v>
      </c>
      <c r="C8" s="63"/>
      <c r="D8" s="63"/>
      <c r="E8" s="4" t="s">
        <v>8</v>
      </c>
      <c r="G8" s="61" t="s">
        <v>5</v>
      </c>
      <c r="H8" s="63"/>
      <c r="I8" s="63"/>
      <c r="J8" t="s">
        <v>8</v>
      </c>
      <c r="L8" s="4"/>
    </row>
    <row r="9" spans="2:12" x14ac:dyDescent="0.25">
      <c r="B9" s="19"/>
      <c r="C9" s="20"/>
      <c r="D9" s="20"/>
      <c r="E9" s="11"/>
      <c r="G9" s="9" t="s">
        <v>18</v>
      </c>
      <c r="H9" s="83" t="s">
        <v>20</v>
      </c>
      <c r="I9" s="83"/>
      <c r="J9" s="83"/>
      <c r="K9" s="83"/>
      <c r="L9" s="84"/>
    </row>
    <row r="10" spans="2:12" x14ac:dyDescent="0.25">
      <c r="B10" s="67" t="s">
        <v>7</v>
      </c>
      <c r="C10" s="68"/>
      <c r="D10" s="68"/>
      <c r="E10" s="69"/>
      <c r="G10" s="5" t="s">
        <v>70</v>
      </c>
      <c r="I10" s="82" t="s">
        <v>85</v>
      </c>
      <c r="J10" s="82"/>
      <c r="K10" s="82" t="s">
        <v>71</v>
      </c>
      <c r="L10" s="85"/>
    </row>
    <row r="11" spans="2:12" x14ac:dyDescent="0.25">
      <c r="B11" s="5" t="s">
        <v>9</v>
      </c>
      <c r="C11" t="s">
        <v>10</v>
      </c>
      <c r="D11" t="s">
        <v>11</v>
      </c>
      <c r="E11" s="4" t="s">
        <v>12</v>
      </c>
      <c r="G11" s="5" t="s">
        <v>16</v>
      </c>
      <c r="H11" t="s">
        <v>12</v>
      </c>
      <c r="I11" t="s">
        <v>17</v>
      </c>
      <c r="J11" t="s">
        <v>36</v>
      </c>
      <c r="K11" t="s">
        <v>17</v>
      </c>
      <c r="L11" s="4" t="s">
        <v>19</v>
      </c>
    </row>
    <row r="12" spans="2:12" x14ac:dyDescent="0.25">
      <c r="B12" s="75" t="s">
        <v>675</v>
      </c>
      <c r="C12" s="60" t="s">
        <v>395</v>
      </c>
      <c r="D12" s="56">
        <v>11.0555</v>
      </c>
      <c r="E12" s="39" t="s">
        <v>22</v>
      </c>
      <c r="G12" s="5" t="s">
        <v>38</v>
      </c>
      <c r="H12" t="s">
        <v>39</v>
      </c>
      <c r="I12">
        <v>3706.8562999999999</v>
      </c>
      <c r="J12">
        <f>I12/$J$7</f>
        <v>494.24750666666665</v>
      </c>
      <c r="K12">
        <v>4230.5820999999996</v>
      </c>
      <c r="L12" s="4">
        <f>K12/$J$7</f>
        <v>564.07761333333326</v>
      </c>
    </row>
    <row r="13" spans="2:12" x14ac:dyDescent="0.25">
      <c r="B13" s="75"/>
      <c r="C13" s="60" t="s">
        <v>404</v>
      </c>
      <c r="D13" s="56">
        <v>159.553</v>
      </c>
      <c r="E13" s="39" t="s">
        <v>22</v>
      </c>
      <c r="G13" s="5" t="s">
        <v>40</v>
      </c>
      <c r="H13" t="s">
        <v>41</v>
      </c>
      <c r="I13">
        <v>4.2300253000000003E-2</v>
      </c>
      <c r="J13">
        <f t="shared" ref="J13:J29" si="0">I13/$J$7</f>
        <v>5.6400337333333333E-3</v>
      </c>
      <c r="K13">
        <v>4.2582599999999998E-2</v>
      </c>
      <c r="L13" s="4">
        <f t="shared" ref="L13:L29" si="1">K13/$J$7</f>
        <v>5.6776800000000001E-3</v>
      </c>
    </row>
    <row r="14" spans="2:12" x14ac:dyDescent="0.25">
      <c r="B14" s="75"/>
      <c r="C14" s="60" t="s">
        <v>405</v>
      </c>
      <c r="D14" s="56">
        <v>57.253100000000003</v>
      </c>
      <c r="E14" s="39" t="s">
        <v>22</v>
      </c>
      <c r="G14" s="5" t="s">
        <v>42</v>
      </c>
      <c r="H14" t="s">
        <v>43</v>
      </c>
      <c r="I14">
        <v>129.74879999999999</v>
      </c>
      <c r="J14">
        <f t="shared" si="0"/>
        <v>17.29984</v>
      </c>
      <c r="K14">
        <v>180.47622000000001</v>
      </c>
      <c r="L14" s="4">
        <f t="shared" si="1"/>
        <v>24.063496000000001</v>
      </c>
    </row>
    <row r="15" spans="2:12" x14ac:dyDescent="0.25">
      <c r="B15" s="75"/>
      <c r="C15" s="60" t="s">
        <v>408</v>
      </c>
      <c r="D15" s="56">
        <v>2.6043400000000001</v>
      </c>
      <c r="E15" s="39" t="s">
        <v>22</v>
      </c>
      <c r="G15" s="5" t="s">
        <v>44</v>
      </c>
      <c r="H15" t="s">
        <v>45</v>
      </c>
      <c r="I15">
        <v>10.972113</v>
      </c>
      <c r="J15">
        <f t="shared" si="0"/>
        <v>1.4629483999999999</v>
      </c>
      <c r="K15">
        <v>13.066128000000001</v>
      </c>
      <c r="L15" s="4">
        <f t="shared" si="1"/>
        <v>1.7421504000000001</v>
      </c>
    </row>
    <row r="16" spans="2:12" x14ac:dyDescent="0.25">
      <c r="B16" s="75"/>
      <c r="C16" s="60" t="s">
        <v>409</v>
      </c>
      <c r="D16" s="56">
        <v>12.438800000000001</v>
      </c>
      <c r="E16" s="39" t="s">
        <v>22</v>
      </c>
      <c r="G16" s="5" t="s">
        <v>46</v>
      </c>
      <c r="H16" t="s">
        <v>47</v>
      </c>
      <c r="I16">
        <v>14.614573999999999</v>
      </c>
      <c r="J16">
        <f t="shared" si="0"/>
        <v>1.9486098666666665</v>
      </c>
      <c r="K16">
        <v>17.253782000000001</v>
      </c>
      <c r="L16" s="4">
        <f t="shared" si="1"/>
        <v>2.3005042666666666</v>
      </c>
    </row>
    <row r="17" spans="2:12" x14ac:dyDescent="0.25">
      <c r="B17" s="75"/>
      <c r="C17" s="60" t="s">
        <v>410</v>
      </c>
      <c r="D17" s="56">
        <v>4.3593799999999998</v>
      </c>
      <c r="E17" s="39" t="s">
        <v>22</v>
      </c>
      <c r="G17" s="5" t="s">
        <v>48</v>
      </c>
      <c r="H17" t="s">
        <v>45</v>
      </c>
      <c r="I17">
        <v>11.325958</v>
      </c>
      <c r="J17">
        <f t="shared" si="0"/>
        <v>1.5101277333333334</v>
      </c>
      <c r="K17">
        <v>13.500363999999999</v>
      </c>
      <c r="L17" s="4">
        <f t="shared" si="1"/>
        <v>1.8000485333333331</v>
      </c>
    </row>
    <row r="18" spans="2:12" x14ac:dyDescent="0.25">
      <c r="B18" s="75"/>
      <c r="C18" s="60" t="s">
        <v>411</v>
      </c>
      <c r="D18" s="56">
        <v>12.177199999999999</v>
      </c>
      <c r="E18" s="39" t="s">
        <v>22</v>
      </c>
      <c r="G18" s="5" t="s">
        <v>49</v>
      </c>
      <c r="H18" t="s">
        <v>50</v>
      </c>
      <c r="I18">
        <v>39.191515000000003</v>
      </c>
      <c r="J18">
        <f t="shared" si="0"/>
        <v>5.2255353333333341</v>
      </c>
      <c r="K18">
        <v>46.191327999999999</v>
      </c>
      <c r="L18" s="4">
        <f t="shared" si="1"/>
        <v>6.1588437333333328</v>
      </c>
    </row>
    <row r="19" spans="2:12" x14ac:dyDescent="0.25">
      <c r="B19" s="75"/>
      <c r="C19" s="60" t="s">
        <v>412</v>
      </c>
      <c r="D19" s="56">
        <v>0.83452000000000004</v>
      </c>
      <c r="E19" s="39" t="s">
        <v>22</v>
      </c>
      <c r="G19" s="5" t="s">
        <v>51</v>
      </c>
      <c r="H19" t="s">
        <v>52</v>
      </c>
      <c r="I19">
        <v>5.9234840000000002</v>
      </c>
      <c r="J19">
        <f t="shared" si="0"/>
        <v>0.78979786666666674</v>
      </c>
      <c r="K19">
        <v>6.9592597999999999</v>
      </c>
      <c r="L19" s="4">
        <f t="shared" si="1"/>
        <v>0.9279013066666667</v>
      </c>
    </row>
    <row r="20" spans="2:12" x14ac:dyDescent="0.25">
      <c r="B20" s="75"/>
      <c r="C20" s="60" t="s">
        <v>413</v>
      </c>
      <c r="D20" s="56">
        <v>5</v>
      </c>
      <c r="E20" s="39" t="s">
        <v>22</v>
      </c>
      <c r="G20" s="5" t="s">
        <v>53</v>
      </c>
      <c r="H20" t="s">
        <v>54</v>
      </c>
      <c r="I20">
        <v>0.25123420000000002</v>
      </c>
      <c r="J20">
        <f t="shared" si="0"/>
        <v>3.3497893333333334E-2</v>
      </c>
      <c r="K20">
        <v>0.28271583</v>
      </c>
      <c r="L20" s="4">
        <f t="shared" si="1"/>
        <v>3.7695444000000002E-2</v>
      </c>
    </row>
    <row r="21" spans="2:12" x14ac:dyDescent="0.25">
      <c r="B21" s="75"/>
      <c r="C21" s="60" t="s">
        <v>427</v>
      </c>
      <c r="D21" s="56">
        <v>8.8931199999999997</v>
      </c>
      <c r="E21" s="39" t="s">
        <v>22</v>
      </c>
      <c r="G21" s="5" t="s">
        <v>55</v>
      </c>
      <c r="H21" t="s">
        <v>56</v>
      </c>
      <c r="I21">
        <v>223529.67</v>
      </c>
      <c r="J21">
        <f t="shared" si="0"/>
        <v>29803.956000000002</v>
      </c>
      <c r="K21">
        <v>240424.19</v>
      </c>
      <c r="L21" s="4">
        <f t="shared" si="1"/>
        <v>32056.558666666668</v>
      </c>
    </row>
    <row r="22" spans="2:12" x14ac:dyDescent="0.25">
      <c r="B22" s="75"/>
      <c r="C22" s="60" t="s">
        <v>416</v>
      </c>
      <c r="D22" s="56">
        <v>36.415300000000002</v>
      </c>
      <c r="E22" s="39" t="s">
        <v>22</v>
      </c>
      <c r="G22" s="5" t="s">
        <v>57</v>
      </c>
      <c r="H22" t="s">
        <v>56</v>
      </c>
      <c r="I22">
        <v>4234.3427000000001</v>
      </c>
      <c r="J22">
        <f t="shared" si="0"/>
        <v>564.57902666666666</v>
      </c>
      <c r="K22">
        <v>4853.6489000000001</v>
      </c>
      <c r="L22" s="4">
        <f t="shared" si="1"/>
        <v>647.15318666666667</v>
      </c>
    </row>
    <row r="23" spans="2:12" x14ac:dyDescent="0.25">
      <c r="B23" s="75"/>
      <c r="C23" s="60" t="s">
        <v>428</v>
      </c>
      <c r="D23" s="56">
        <v>55.86</v>
      </c>
      <c r="E23" s="39" t="s">
        <v>22</v>
      </c>
      <c r="G23" s="5" t="s">
        <v>58</v>
      </c>
      <c r="H23" t="s">
        <v>56</v>
      </c>
      <c r="I23">
        <v>5358.8419000000004</v>
      </c>
      <c r="J23">
        <f t="shared" si="0"/>
        <v>714.51225333333343</v>
      </c>
      <c r="K23">
        <v>6144.6698999999999</v>
      </c>
      <c r="L23" s="4">
        <f t="shared" si="1"/>
        <v>819.28931999999998</v>
      </c>
    </row>
    <row r="24" spans="2:12" x14ac:dyDescent="0.25">
      <c r="B24" s="75"/>
      <c r="C24" s="56" t="s">
        <v>429</v>
      </c>
      <c r="D24" s="56">
        <v>2.1870000000000001E-2</v>
      </c>
      <c r="E24" s="39" t="s">
        <v>68</v>
      </c>
      <c r="G24" s="5" t="s">
        <v>59</v>
      </c>
      <c r="H24" t="s">
        <v>56</v>
      </c>
      <c r="I24">
        <v>2372.2903999999999</v>
      </c>
      <c r="J24">
        <f t="shared" si="0"/>
        <v>316.30538666666666</v>
      </c>
      <c r="K24">
        <v>2773.9629</v>
      </c>
      <c r="L24" s="4">
        <f t="shared" si="1"/>
        <v>369.86171999999999</v>
      </c>
    </row>
    <row r="25" spans="2:12" x14ac:dyDescent="0.25">
      <c r="B25" s="75"/>
      <c r="C25" s="56" t="s">
        <v>673</v>
      </c>
      <c r="D25">
        <v>1.4999999999999999E-2</v>
      </c>
      <c r="E25" s="4" t="s">
        <v>150</v>
      </c>
      <c r="G25" s="5" t="s">
        <v>60</v>
      </c>
      <c r="H25" t="s">
        <v>56</v>
      </c>
      <c r="I25">
        <v>56273.853999999999</v>
      </c>
      <c r="J25">
        <f t="shared" si="0"/>
        <v>7503.1805333333332</v>
      </c>
      <c r="K25">
        <v>66043.021999999997</v>
      </c>
      <c r="L25" s="4">
        <f t="shared" si="1"/>
        <v>8805.7362666666668</v>
      </c>
    </row>
    <row r="26" spans="2:12" x14ac:dyDescent="0.25">
      <c r="B26" s="75"/>
      <c r="C26" t="s">
        <v>419</v>
      </c>
      <c r="D26">
        <v>1</v>
      </c>
      <c r="E26" s="4" t="s">
        <v>150</v>
      </c>
      <c r="G26" s="5" t="s">
        <v>61</v>
      </c>
      <c r="H26" t="s">
        <v>62</v>
      </c>
      <c r="I26">
        <v>167.69300000000001</v>
      </c>
      <c r="J26">
        <f t="shared" si="0"/>
        <v>22.359066666666667</v>
      </c>
      <c r="K26">
        <v>211.17046999999999</v>
      </c>
      <c r="L26" s="4">
        <f t="shared" si="1"/>
        <v>28.156062666666667</v>
      </c>
    </row>
    <row r="27" spans="2:12" x14ac:dyDescent="0.25">
      <c r="B27" s="75" t="s">
        <v>425</v>
      </c>
      <c r="C27" s="56" t="s">
        <v>430</v>
      </c>
      <c r="D27" s="56">
        <v>28.22232</v>
      </c>
      <c r="E27" s="39" t="s">
        <v>426</v>
      </c>
      <c r="G27" s="5" t="s">
        <v>63</v>
      </c>
      <c r="H27" t="s">
        <v>64</v>
      </c>
      <c r="I27">
        <v>135.66650999999999</v>
      </c>
      <c r="J27">
        <f t="shared" si="0"/>
        <v>18.088867999999998</v>
      </c>
      <c r="K27">
        <v>168.67787999999999</v>
      </c>
      <c r="L27" s="4">
        <f t="shared" si="1"/>
        <v>22.490383999999999</v>
      </c>
    </row>
    <row r="28" spans="2:12" ht="15.75" thickBot="1" x14ac:dyDescent="0.3">
      <c r="B28" s="91"/>
      <c r="C28" s="58" t="s">
        <v>431</v>
      </c>
      <c r="D28" s="58">
        <v>7349.86</v>
      </c>
      <c r="E28" s="59" t="s">
        <v>426</v>
      </c>
      <c r="G28" s="5" t="s">
        <v>65</v>
      </c>
      <c r="H28" t="s">
        <v>66</v>
      </c>
      <c r="I28">
        <v>753.23086999999998</v>
      </c>
      <c r="J28">
        <f t="shared" si="0"/>
        <v>100.43078266666666</v>
      </c>
      <c r="K28">
        <v>875.80381999999997</v>
      </c>
      <c r="L28" s="4">
        <f t="shared" si="1"/>
        <v>116.77384266666667</v>
      </c>
    </row>
    <row r="29" spans="2:12" ht="15.75" thickBot="1" x14ac:dyDescent="0.3">
      <c r="G29" s="6" t="s">
        <v>67</v>
      </c>
      <c r="H29" s="7" t="s">
        <v>68</v>
      </c>
      <c r="I29" s="7">
        <v>25.100192</v>
      </c>
      <c r="J29" s="7">
        <f t="shared" si="0"/>
        <v>3.3466922666666665</v>
      </c>
      <c r="K29" s="7">
        <v>31.268913999999999</v>
      </c>
      <c r="L29" s="8">
        <f t="shared" si="1"/>
        <v>4.1691885333333332</v>
      </c>
    </row>
    <row r="30" spans="2:12" x14ac:dyDescent="0.25">
      <c r="B30" s="17"/>
      <c r="C30" s="17"/>
      <c r="D30" s="17"/>
      <c r="E30" s="17"/>
    </row>
    <row r="31" spans="2:12" ht="15.75" thickBot="1" x14ac:dyDescent="0.3"/>
    <row r="32" spans="2:12" x14ac:dyDescent="0.25">
      <c r="B32" s="64" t="s">
        <v>1</v>
      </c>
      <c r="C32" s="65"/>
      <c r="D32" s="65"/>
      <c r="E32" s="66"/>
      <c r="G32" s="64" t="s">
        <v>69</v>
      </c>
      <c r="H32" s="65"/>
      <c r="I32" s="65"/>
      <c r="J32" s="65"/>
      <c r="K32" s="65"/>
      <c r="L32" s="66"/>
    </row>
    <row r="33" spans="2:12" x14ac:dyDescent="0.25">
      <c r="B33" s="61" t="s">
        <v>13</v>
      </c>
      <c r="C33" s="63"/>
      <c r="D33" s="63"/>
      <c r="E33" s="4" t="s">
        <v>423</v>
      </c>
      <c r="G33" s="61" t="s">
        <v>37</v>
      </c>
      <c r="H33" s="63"/>
      <c r="I33" s="63"/>
      <c r="J33">
        <v>30</v>
      </c>
      <c r="L33" s="4"/>
    </row>
    <row r="34" spans="2:12" x14ac:dyDescent="0.25">
      <c r="B34" s="61" t="s">
        <v>14</v>
      </c>
      <c r="C34" s="63"/>
      <c r="D34" s="63"/>
      <c r="E34" s="4" t="s">
        <v>424</v>
      </c>
      <c r="G34" s="61" t="s">
        <v>14</v>
      </c>
      <c r="H34" s="63"/>
      <c r="I34" s="63"/>
      <c r="J34" t="s">
        <v>8</v>
      </c>
      <c r="L34" s="4"/>
    </row>
    <row r="35" spans="2:12" x14ac:dyDescent="0.25">
      <c r="B35" s="3"/>
      <c r="C35" s="2"/>
      <c r="D35" s="2"/>
      <c r="E35" s="4"/>
      <c r="G35" s="9" t="s">
        <v>18</v>
      </c>
      <c r="H35" s="83" t="s">
        <v>20</v>
      </c>
      <c r="I35" s="83"/>
      <c r="J35" s="83"/>
      <c r="K35" s="83"/>
      <c r="L35" s="84"/>
    </row>
    <row r="36" spans="2:12" x14ac:dyDescent="0.25">
      <c r="B36" s="79" t="s">
        <v>7</v>
      </c>
      <c r="C36" s="80"/>
      <c r="D36" s="80"/>
      <c r="E36" s="81"/>
      <c r="G36" s="5" t="s">
        <v>70</v>
      </c>
      <c r="I36" s="82" t="s">
        <v>85</v>
      </c>
      <c r="J36" s="82"/>
      <c r="K36" s="82" t="s">
        <v>71</v>
      </c>
      <c r="L36" s="85"/>
    </row>
    <row r="37" spans="2:12" x14ac:dyDescent="0.25">
      <c r="B37" s="5" t="s">
        <v>9</v>
      </c>
      <c r="C37" t="s">
        <v>10</v>
      </c>
      <c r="D37" t="s">
        <v>11</v>
      </c>
      <c r="E37" s="4" t="s">
        <v>12</v>
      </c>
      <c r="G37" s="5" t="s">
        <v>16</v>
      </c>
      <c r="H37" t="s">
        <v>12</v>
      </c>
      <c r="I37" t="s">
        <v>17</v>
      </c>
      <c r="J37" t="s">
        <v>19</v>
      </c>
      <c r="K37" t="s">
        <v>17</v>
      </c>
      <c r="L37" s="4" t="s">
        <v>19</v>
      </c>
    </row>
    <row r="38" spans="2:12" x14ac:dyDescent="0.25">
      <c r="B38" s="75" t="s">
        <v>675</v>
      </c>
      <c r="C38" s="37" t="s">
        <v>406</v>
      </c>
      <c r="D38">
        <v>1524</v>
      </c>
      <c r="E38" s="4" t="s">
        <v>22</v>
      </c>
      <c r="G38" s="5" t="s">
        <v>38</v>
      </c>
      <c r="H38" t="s">
        <v>39</v>
      </c>
      <c r="I38">
        <v>1999.6210000000001</v>
      </c>
      <c r="J38">
        <f>I38/$J$33</f>
        <v>66.654033333333331</v>
      </c>
      <c r="K38">
        <v>2242.6102000000001</v>
      </c>
      <c r="L38" s="4">
        <f>K38/$J$33</f>
        <v>74.753673333333339</v>
      </c>
    </row>
    <row r="39" spans="2:12" x14ac:dyDescent="0.25">
      <c r="B39" s="75"/>
      <c r="C39" s="37" t="s">
        <v>407</v>
      </c>
      <c r="D39">
        <v>43.207000000000001</v>
      </c>
      <c r="E39" s="4" t="s">
        <v>22</v>
      </c>
      <c r="G39" s="5" t="s">
        <v>40</v>
      </c>
      <c r="H39" t="s">
        <v>41</v>
      </c>
      <c r="I39">
        <v>6.8697957999999996E-4</v>
      </c>
      <c r="J39">
        <f t="shared" ref="J39:J55" si="2">I39/$J$33</f>
        <v>2.2899319333333331E-5</v>
      </c>
      <c r="K39">
        <v>7.2697064E-4</v>
      </c>
      <c r="L39" s="4">
        <f t="shared" ref="L39:L55" si="3">K39/$J$33</f>
        <v>2.4232354666666666E-5</v>
      </c>
    </row>
    <row r="40" spans="2:12" x14ac:dyDescent="0.25">
      <c r="B40" s="75"/>
      <c r="C40" s="56" t="s">
        <v>429</v>
      </c>
      <c r="D40">
        <v>0.1065501285562151</v>
      </c>
      <c r="E40" s="4" t="s">
        <v>68</v>
      </c>
      <c r="G40" s="5" t="s">
        <v>42</v>
      </c>
      <c r="H40" t="s">
        <v>43</v>
      </c>
      <c r="I40">
        <v>66.347902000000005</v>
      </c>
      <c r="J40">
        <f t="shared" si="2"/>
        <v>2.2115967333333333</v>
      </c>
      <c r="K40">
        <v>67.399479999999997</v>
      </c>
      <c r="L40" s="4">
        <f t="shared" si="3"/>
        <v>2.2466493333333331</v>
      </c>
    </row>
    <row r="41" spans="2:12" x14ac:dyDescent="0.25">
      <c r="B41" s="75"/>
      <c r="C41" s="37" t="s">
        <v>417</v>
      </c>
      <c r="D41">
        <v>279.6009492358022</v>
      </c>
      <c r="E41" s="4" t="s">
        <v>22</v>
      </c>
      <c r="G41" s="5" t="s">
        <v>44</v>
      </c>
      <c r="H41" t="s">
        <v>45</v>
      </c>
      <c r="I41">
        <v>11.197285000000001</v>
      </c>
      <c r="J41">
        <f t="shared" si="2"/>
        <v>0.37324283333333336</v>
      </c>
      <c r="K41">
        <v>11.278546</v>
      </c>
      <c r="L41" s="4">
        <f t="shared" si="3"/>
        <v>0.37595153333333337</v>
      </c>
    </row>
    <row r="42" spans="2:12" x14ac:dyDescent="0.25">
      <c r="B42" s="75" t="s">
        <v>425</v>
      </c>
      <c r="C42" s="56" t="s">
        <v>430</v>
      </c>
      <c r="D42">
        <v>147.31735023737394</v>
      </c>
      <c r="E42" s="4" t="s">
        <v>426</v>
      </c>
      <c r="G42" s="5" t="s">
        <v>46</v>
      </c>
      <c r="H42" t="s">
        <v>47</v>
      </c>
      <c r="I42">
        <v>16.536812999999999</v>
      </c>
      <c r="J42">
        <f t="shared" si="2"/>
        <v>0.55122709999999997</v>
      </c>
      <c r="K42">
        <v>16.630172000000002</v>
      </c>
      <c r="L42" s="4">
        <f t="shared" si="3"/>
        <v>0.55433906666666677</v>
      </c>
    </row>
    <row r="43" spans="2:12" ht="15.75" thickBot="1" x14ac:dyDescent="0.3">
      <c r="B43" s="91"/>
      <c r="C43" s="58" t="s">
        <v>431</v>
      </c>
      <c r="D43" s="7">
        <v>36824.080424018444</v>
      </c>
      <c r="E43" s="8" t="s">
        <v>426</v>
      </c>
      <c r="G43" s="5" t="s">
        <v>48</v>
      </c>
      <c r="H43" t="s">
        <v>45</v>
      </c>
      <c r="I43">
        <v>11.469867000000001</v>
      </c>
      <c r="J43">
        <f t="shared" si="2"/>
        <v>0.38232890000000003</v>
      </c>
      <c r="K43">
        <v>11.553993999999999</v>
      </c>
      <c r="L43" s="4">
        <f t="shared" si="3"/>
        <v>0.38513313333333332</v>
      </c>
    </row>
    <row r="44" spans="2:12" x14ac:dyDescent="0.25">
      <c r="G44" s="5" t="s">
        <v>49</v>
      </c>
      <c r="H44" t="s">
        <v>50</v>
      </c>
      <c r="I44">
        <v>52.342844999999997</v>
      </c>
      <c r="J44">
        <f t="shared" si="2"/>
        <v>1.7447614999999999</v>
      </c>
      <c r="K44">
        <v>52.400427000000001</v>
      </c>
      <c r="L44" s="4">
        <f t="shared" si="3"/>
        <v>1.7466809000000001</v>
      </c>
    </row>
    <row r="45" spans="2:12" x14ac:dyDescent="0.25">
      <c r="G45" s="5" t="s">
        <v>51</v>
      </c>
      <c r="H45" t="s">
        <v>52</v>
      </c>
      <c r="I45">
        <v>0.90892740000000005</v>
      </c>
      <c r="J45">
        <f t="shared" si="2"/>
        <v>3.0297580000000001E-2</v>
      </c>
      <c r="K45">
        <v>1.0712763999999999</v>
      </c>
      <c r="L45" s="4">
        <f t="shared" si="3"/>
        <v>3.570921333333333E-2</v>
      </c>
    </row>
    <row r="46" spans="2:12" x14ac:dyDescent="0.25">
      <c r="G46" s="5" t="s">
        <v>53</v>
      </c>
      <c r="H46" t="s">
        <v>54</v>
      </c>
      <c r="I46">
        <v>0.10647797000000001</v>
      </c>
      <c r="J46">
        <f t="shared" si="2"/>
        <v>3.549265666666667E-3</v>
      </c>
      <c r="K46">
        <v>0.11429164</v>
      </c>
      <c r="L46" s="4">
        <f t="shared" si="3"/>
        <v>3.8097213333333334E-3</v>
      </c>
    </row>
    <row r="47" spans="2:12" x14ac:dyDescent="0.25">
      <c r="G47" s="5" t="s">
        <v>55</v>
      </c>
      <c r="H47" t="s">
        <v>56</v>
      </c>
      <c r="I47">
        <v>10160.011</v>
      </c>
      <c r="J47">
        <f t="shared" si="2"/>
        <v>338.66703333333334</v>
      </c>
      <c r="K47">
        <v>10454.429</v>
      </c>
      <c r="L47" s="4">
        <f t="shared" si="3"/>
        <v>348.48096666666669</v>
      </c>
    </row>
    <row r="48" spans="2:12" x14ac:dyDescent="0.25">
      <c r="G48" s="5" t="s">
        <v>57</v>
      </c>
      <c r="H48" t="s">
        <v>56</v>
      </c>
      <c r="I48">
        <v>292.87486000000001</v>
      </c>
      <c r="J48">
        <f t="shared" si="2"/>
        <v>9.7624953333333337</v>
      </c>
      <c r="K48">
        <v>303.3</v>
      </c>
      <c r="L48" s="4">
        <f t="shared" si="3"/>
        <v>10.110000000000001</v>
      </c>
    </row>
    <row r="49" spans="2:12" x14ac:dyDescent="0.25">
      <c r="G49" s="5" t="s">
        <v>58</v>
      </c>
      <c r="H49" t="s">
        <v>56</v>
      </c>
      <c r="I49">
        <v>388.79226999999997</v>
      </c>
      <c r="J49">
        <f t="shared" si="2"/>
        <v>12.959742333333333</v>
      </c>
      <c r="K49">
        <v>403.57107999999999</v>
      </c>
      <c r="L49" s="4">
        <f t="shared" si="3"/>
        <v>13.452369333333333</v>
      </c>
    </row>
    <row r="50" spans="2:12" x14ac:dyDescent="0.25">
      <c r="G50" s="5" t="s">
        <v>59</v>
      </c>
      <c r="H50" t="s">
        <v>56</v>
      </c>
      <c r="I50">
        <v>3565.9052000000001</v>
      </c>
      <c r="J50">
        <f t="shared" si="2"/>
        <v>118.86350666666667</v>
      </c>
      <c r="K50">
        <v>3574.9675999999999</v>
      </c>
      <c r="L50" s="4">
        <f t="shared" si="3"/>
        <v>119.16558666666667</v>
      </c>
    </row>
    <row r="51" spans="2:12" x14ac:dyDescent="0.25">
      <c r="G51" s="5" t="s">
        <v>60</v>
      </c>
      <c r="H51" t="s">
        <v>56</v>
      </c>
      <c r="I51">
        <v>6660.4570000000003</v>
      </c>
      <c r="J51">
        <f t="shared" si="2"/>
        <v>222.01523333333336</v>
      </c>
      <c r="K51">
        <v>6796.2039000000004</v>
      </c>
      <c r="L51" s="4">
        <f t="shared" si="3"/>
        <v>226.54013</v>
      </c>
    </row>
    <row r="52" spans="2:12" x14ac:dyDescent="0.25">
      <c r="G52" s="5" t="s">
        <v>61</v>
      </c>
      <c r="H52" t="s">
        <v>62</v>
      </c>
      <c r="I52">
        <v>148.47315</v>
      </c>
      <c r="J52">
        <f t="shared" si="2"/>
        <v>4.9491050000000003</v>
      </c>
      <c r="K52">
        <v>148.86628999999999</v>
      </c>
      <c r="L52" s="4">
        <f t="shared" si="3"/>
        <v>4.9622096666666664</v>
      </c>
    </row>
    <row r="53" spans="2:12" x14ac:dyDescent="0.25">
      <c r="G53" s="5" t="s">
        <v>63</v>
      </c>
      <c r="H53" t="s">
        <v>64</v>
      </c>
      <c r="I53">
        <v>40.987411999999999</v>
      </c>
      <c r="J53">
        <f t="shared" si="2"/>
        <v>1.3662470666666666</v>
      </c>
      <c r="K53">
        <v>41.052874000000003</v>
      </c>
      <c r="L53" s="4">
        <f t="shared" si="3"/>
        <v>1.3684291333333334</v>
      </c>
    </row>
    <row r="54" spans="2:12" x14ac:dyDescent="0.25">
      <c r="G54" s="5" t="s">
        <v>65</v>
      </c>
      <c r="H54" t="s">
        <v>66</v>
      </c>
      <c r="I54">
        <v>558.49035000000003</v>
      </c>
      <c r="J54">
        <f t="shared" si="2"/>
        <v>18.616345000000003</v>
      </c>
      <c r="K54">
        <v>564.01270999999997</v>
      </c>
      <c r="L54" s="4">
        <f t="shared" si="3"/>
        <v>18.800423666666667</v>
      </c>
    </row>
    <row r="55" spans="2:12" ht="15.75" thickBot="1" x14ac:dyDescent="0.3">
      <c r="G55" s="6" t="s">
        <v>67</v>
      </c>
      <c r="H55" s="7" t="s">
        <v>68</v>
      </c>
      <c r="I55" s="7">
        <v>20.519887000000001</v>
      </c>
      <c r="J55" s="7">
        <f t="shared" si="2"/>
        <v>0.68399623333333337</v>
      </c>
      <c r="K55" s="7">
        <v>20.661128999999999</v>
      </c>
      <c r="L55" s="8">
        <f t="shared" si="3"/>
        <v>0.68870429999999994</v>
      </c>
    </row>
    <row r="57" spans="2:12" ht="15.75" thickBot="1" x14ac:dyDescent="0.3"/>
    <row r="58" spans="2:12" x14ac:dyDescent="0.25">
      <c r="B58" s="76" t="s">
        <v>109</v>
      </c>
      <c r="C58" s="77"/>
      <c r="D58" s="77"/>
      <c r="E58" s="77"/>
      <c r="F58" s="78"/>
    </row>
    <row r="59" spans="2:12" x14ac:dyDescent="0.25">
      <c r="B59" s="86" t="s">
        <v>420</v>
      </c>
      <c r="C59" s="87"/>
      <c r="D59" s="38"/>
      <c r="E59" s="38"/>
      <c r="F59" s="13"/>
    </row>
    <row r="60" spans="2:12" x14ac:dyDescent="0.25">
      <c r="B60" s="5" t="s">
        <v>121</v>
      </c>
      <c r="C60" s="17" t="s">
        <v>7</v>
      </c>
      <c r="D60" t="s">
        <v>118</v>
      </c>
      <c r="E60" t="s">
        <v>117</v>
      </c>
      <c r="F60" s="4" t="s">
        <v>12</v>
      </c>
    </row>
    <row r="61" spans="2:12" x14ac:dyDescent="0.25">
      <c r="B61" s="5" t="s">
        <v>117</v>
      </c>
      <c r="C61" s="37" t="s">
        <v>404</v>
      </c>
      <c r="D61">
        <v>0</v>
      </c>
      <c r="E61">
        <v>159.553</v>
      </c>
      <c r="F61" s="4" t="s">
        <v>22</v>
      </c>
    </row>
    <row r="62" spans="2:12" x14ac:dyDescent="0.25">
      <c r="B62" s="5" t="s">
        <v>117</v>
      </c>
      <c r="C62" s="37" t="s">
        <v>395</v>
      </c>
      <c r="D62">
        <v>0</v>
      </c>
      <c r="E62">
        <v>11.0555</v>
      </c>
      <c r="F62" s="4" t="s">
        <v>22</v>
      </c>
    </row>
    <row r="63" spans="2:12" x14ac:dyDescent="0.25">
      <c r="B63" s="5" t="s">
        <v>117</v>
      </c>
      <c r="C63" s="37" t="s">
        <v>405</v>
      </c>
      <c r="D63">
        <v>0</v>
      </c>
      <c r="E63">
        <v>57.253100000000003</v>
      </c>
      <c r="F63" s="4" t="s">
        <v>22</v>
      </c>
    </row>
    <row r="64" spans="2:12" x14ac:dyDescent="0.25">
      <c r="B64" s="5" t="s">
        <v>118</v>
      </c>
      <c r="C64" s="37" t="s">
        <v>406</v>
      </c>
      <c r="D64">
        <v>1524</v>
      </c>
      <c r="E64">
        <v>0</v>
      </c>
      <c r="F64" s="4" t="s">
        <v>22</v>
      </c>
    </row>
    <row r="65" spans="2:6" x14ac:dyDescent="0.25">
      <c r="B65" s="5" t="s">
        <v>118</v>
      </c>
      <c r="C65" s="37" t="s">
        <v>407</v>
      </c>
      <c r="D65">
        <v>43.206400000000002</v>
      </c>
      <c r="E65">
        <v>0</v>
      </c>
      <c r="F65" s="4" t="s">
        <v>22</v>
      </c>
    </row>
    <row r="66" spans="2:6" x14ac:dyDescent="0.25">
      <c r="B66" s="5" t="s">
        <v>117</v>
      </c>
      <c r="C66" s="37" t="s">
        <v>408</v>
      </c>
      <c r="D66">
        <v>0</v>
      </c>
      <c r="E66">
        <v>7.8143399999999996</v>
      </c>
      <c r="F66" s="4" t="s">
        <v>22</v>
      </c>
    </row>
    <row r="67" spans="2:6" x14ac:dyDescent="0.25">
      <c r="B67" s="5" t="s">
        <v>117</v>
      </c>
      <c r="C67" s="37" t="s">
        <v>409</v>
      </c>
      <c r="D67">
        <v>0</v>
      </c>
      <c r="E67">
        <v>12.438800000000001</v>
      </c>
      <c r="F67" s="4" t="s">
        <v>22</v>
      </c>
    </row>
    <row r="68" spans="2:6" x14ac:dyDescent="0.25">
      <c r="B68" s="5" t="s">
        <v>117</v>
      </c>
      <c r="C68" s="37" t="s">
        <v>410</v>
      </c>
      <c r="D68">
        <v>0</v>
      </c>
      <c r="E68">
        <v>4.3593799999999998</v>
      </c>
      <c r="F68" s="4" t="s">
        <v>22</v>
      </c>
    </row>
    <row r="69" spans="2:6" x14ac:dyDescent="0.25">
      <c r="B69" s="5" t="s">
        <v>117</v>
      </c>
      <c r="C69" s="37" t="s">
        <v>411</v>
      </c>
      <c r="D69">
        <v>0</v>
      </c>
      <c r="E69">
        <v>12.177199999999999</v>
      </c>
      <c r="F69" s="4" t="s">
        <v>22</v>
      </c>
    </row>
    <row r="70" spans="2:6" x14ac:dyDescent="0.25">
      <c r="B70" s="5" t="s">
        <v>117</v>
      </c>
      <c r="C70" s="37" t="s">
        <v>412</v>
      </c>
      <c r="D70">
        <v>0</v>
      </c>
      <c r="E70">
        <v>0.83452000000000004</v>
      </c>
      <c r="F70" s="4" t="s">
        <v>22</v>
      </c>
    </row>
    <row r="71" spans="2:6" x14ac:dyDescent="0.25">
      <c r="B71" s="5" t="s">
        <v>117</v>
      </c>
      <c r="C71" s="37" t="s">
        <v>413</v>
      </c>
      <c r="D71">
        <v>0</v>
      </c>
      <c r="E71">
        <v>15</v>
      </c>
      <c r="F71" s="4" t="s">
        <v>22</v>
      </c>
    </row>
    <row r="72" spans="2:6" x14ac:dyDescent="0.25">
      <c r="B72" s="5" t="s">
        <v>117</v>
      </c>
      <c r="C72" s="37" t="s">
        <v>414</v>
      </c>
      <c r="D72">
        <v>0</v>
      </c>
      <c r="E72">
        <v>8.8931199999999997</v>
      </c>
      <c r="F72" s="4" t="s">
        <v>22</v>
      </c>
    </row>
    <row r="73" spans="2:6" x14ac:dyDescent="0.25">
      <c r="B73" s="5" t="s">
        <v>116</v>
      </c>
      <c r="C73" t="s">
        <v>415</v>
      </c>
      <c r="D73">
        <v>0.1065501285562151</v>
      </c>
      <c r="E73">
        <v>2.2149871443784913E-2</v>
      </c>
      <c r="F73" s="4" t="s">
        <v>68</v>
      </c>
    </row>
    <row r="74" spans="2:6" x14ac:dyDescent="0.25">
      <c r="B74" s="5" t="s">
        <v>117</v>
      </c>
      <c r="C74" s="37" t="s">
        <v>416</v>
      </c>
      <c r="D74">
        <v>0</v>
      </c>
      <c r="E74">
        <v>36.415300000000002</v>
      </c>
      <c r="F74" s="4" t="s">
        <v>22</v>
      </c>
    </row>
    <row r="75" spans="2:6" x14ac:dyDescent="0.25">
      <c r="B75" s="5" t="s">
        <v>116</v>
      </c>
      <c r="C75" s="37" t="s">
        <v>417</v>
      </c>
      <c r="D75">
        <v>279.6009492358022</v>
      </c>
      <c r="E75">
        <v>58.124050764197818</v>
      </c>
      <c r="F75" s="4" t="s">
        <v>22</v>
      </c>
    </row>
    <row r="76" spans="2:6" x14ac:dyDescent="0.25">
      <c r="B76" s="5" t="s">
        <v>117</v>
      </c>
      <c r="C76" t="s">
        <v>418</v>
      </c>
      <c r="D76">
        <v>0</v>
      </c>
      <c r="E76">
        <v>3</v>
      </c>
      <c r="F76" s="4" t="s">
        <v>150</v>
      </c>
    </row>
    <row r="77" spans="2:6" x14ac:dyDescent="0.25">
      <c r="B77" s="5" t="s">
        <v>117</v>
      </c>
      <c r="C77" t="s">
        <v>419</v>
      </c>
      <c r="D77">
        <v>0</v>
      </c>
      <c r="E77">
        <v>1</v>
      </c>
      <c r="F77" s="4" t="s">
        <v>150</v>
      </c>
    </row>
    <row r="78" spans="2:6" x14ac:dyDescent="0.25">
      <c r="B78" s="5" t="s">
        <v>116</v>
      </c>
      <c r="C78" t="s">
        <v>160</v>
      </c>
      <c r="D78">
        <v>38.654432807223642</v>
      </c>
      <c r="E78">
        <v>8.0355671927763606</v>
      </c>
      <c r="F78" s="4" t="s">
        <v>159</v>
      </c>
    </row>
    <row r="79" spans="2:6" x14ac:dyDescent="0.25">
      <c r="B79" s="5" t="s">
        <v>116</v>
      </c>
      <c r="C79" t="s">
        <v>160</v>
      </c>
      <c r="D79">
        <v>108.6629174301503</v>
      </c>
      <c r="E79">
        <v>22.589082569849708</v>
      </c>
      <c r="F79" s="4" t="s">
        <v>159</v>
      </c>
    </row>
    <row r="80" spans="2:6" ht="15.75" thickBot="1" x14ac:dyDescent="0.3">
      <c r="B80" s="6" t="s">
        <v>116</v>
      </c>
      <c r="C80" s="7" t="s">
        <v>392</v>
      </c>
      <c r="D80" s="7">
        <v>36824.080424018444</v>
      </c>
      <c r="E80" s="7">
        <v>7655.0695759815499</v>
      </c>
      <c r="F80" s="8" t="s">
        <v>159</v>
      </c>
    </row>
    <row r="82" spans="3:105" ht="15.75" thickBot="1" x14ac:dyDescent="0.3"/>
    <row r="83" spans="3:105" x14ac:dyDescent="0.25">
      <c r="C83" s="88" t="s">
        <v>148</v>
      </c>
      <c r="D83" s="89"/>
      <c r="E83" s="90"/>
      <c r="G83" s="88" t="s">
        <v>170</v>
      </c>
      <c r="H83" s="89"/>
      <c r="I83" s="90"/>
      <c r="K83" s="88" t="s">
        <v>203</v>
      </c>
      <c r="L83" s="89"/>
      <c r="M83" s="90"/>
      <c r="O83" s="88" t="s">
        <v>221</v>
      </c>
      <c r="P83" s="89"/>
      <c r="Q83" s="90"/>
      <c r="S83" s="88" t="s">
        <v>222</v>
      </c>
      <c r="T83" s="89"/>
      <c r="U83" s="90"/>
      <c r="W83" s="88" t="s">
        <v>230</v>
      </c>
      <c r="X83" s="89"/>
      <c r="Y83" s="90"/>
      <c r="AA83" s="88" t="s">
        <v>231</v>
      </c>
      <c r="AB83" s="89"/>
      <c r="AC83" s="90"/>
      <c r="AE83" s="88" t="s">
        <v>232</v>
      </c>
      <c r="AF83" s="89"/>
      <c r="AG83" s="90"/>
      <c r="AI83" s="88" t="s">
        <v>233</v>
      </c>
      <c r="AJ83" s="89"/>
      <c r="AK83" s="90"/>
      <c r="AM83" s="88" t="s">
        <v>234</v>
      </c>
      <c r="AN83" s="89"/>
      <c r="AO83" s="90"/>
      <c r="AQ83" s="88" t="s">
        <v>235</v>
      </c>
      <c r="AR83" s="89"/>
      <c r="AS83" s="90"/>
      <c r="AU83" s="88" t="s">
        <v>236</v>
      </c>
      <c r="AV83" s="89"/>
      <c r="AW83" s="90"/>
      <c r="AY83" s="88" t="s">
        <v>237</v>
      </c>
      <c r="AZ83" s="89"/>
      <c r="BA83" s="90"/>
      <c r="BC83" s="88" t="s">
        <v>238</v>
      </c>
      <c r="BD83" s="89"/>
      <c r="BE83" s="90"/>
      <c r="BG83" s="88" t="s">
        <v>239</v>
      </c>
      <c r="BH83" s="89"/>
      <c r="BI83" s="90"/>
      <c r="BK83" s="88" t="s">
        <v>240</v>
      </c>
      <c r="BL83" s="89"/>
      <c r="BM83" s="90"/>
      <c r="BO83" s="88" t="s">
        <v>241</v>
      </c>
      <c r="BP83" s="89"/>
      <c r="BQ83" s="90"/>
      <c r="BS83" s="88" t="s">
        <v>242</v>
      </c>
      <c r="BT83" s="89"/>
      <c r="BU83" s="90"/>
      <c r="BW83" s="88" t="s">
        <v>243</v>
      </c>
      <c r="BX83" s="89"/>
      <c r="BY83" s="90"/>
      <c r="CA83" s="88" t="s">
        <v>244</v>
      </c>
      <c r="CB83" s="89"/>
      <c r="CC83" s="90"/>
      <c r="CE83" s="88" t="s">
        <v>245</v>
      </c>
      <c r="CF83" s="89"/>
      <c r="CG83" s="90"/>
      <c r="CI83" s="88" t="s">
        <v>246</v>
      </c>
      <c r="CJ83" s="89"/>
      <c r="CK83" s="90"/>
    </row>
    <row r="84" spans="3:105" x14ac:dyDescent="0.25">
      <c r="C84" s="67" t="s">
        <v>7</v>
      </c>
      <c r="D84" s="68"/>
      <c r="E84" s="69"/>
      <c r="G84" s="67" t="s">
        <v>7</v>
      </c>
      <c r="H84" s="68"/>
      <c r="I84" s="69"/>
      <c r="K84" s="67" t="s">
        <v>7</v>
      </c>
      <c r="L84" s="68"/>
      <c r="M84" s="69"/>
      <c r="O84" s="67" t="s">
        <v>7</v>
      </c>
      <c r="P84" s="68"/>
      <c r="Q84" s="69"/>
      <c r="S84" s="67" t="s">
        <v>7</v>
      </c>
      <c r="T84" s="68"/>
      <c r="U84" s="69"/>
      <c r="W84" s="67" t="s">
        <v>7</v>
      </c>
      <c r="X84" s="68"/>
      <c r="Y84" s="69"/>
      <c r="AA84" s="67" t="s">
        <v>7</v>
      </c>
      <c r="AB84" s="68"/>
      <c r="AC84" s="69"/>
      <c r="AE84" s="67" t="s">
        <v>7</v>
      </c>
      <c r="AF84" s="68"/>
      <c r="AG84" s="69"/>
      <c r="AI84" s="67" t="s">
        <v>7</v>
      </c>
      <c r="AJ84" s="68"/>
      <c r="AK84" s="69"/>
      <c r="AM84" s="67" t="s">
        <v>7</v>
      </c>
      <c r="AN84" s="68"/>
      <c r="AO84" s="69"/>
      <c r="AQ84" s="67" t="s">
        <v>7</v>
      </c>
      <c r="AR84" s="68"/>
      <c r="AS84" s="69"/>
      <c r="AU84" s="67" t="s">
        <v>7</v>
      </c>
      <c r="AV84" s="68"/>
      <c r="AW84" s="69"/>
      <c r="AY84" s="67" t="s">
        <v>7</v>
      </c>
      <c r="AZ84" s="68"/>
      <c r="BA84" s="69"/>
      <c r="BC84" s="67" t="s">
        <v>7</v>
      </c>
      <c r="BD84" s="68"/>
      <c r="BE84" s="69"/>
      <c r="BG84" s="67" t="s">
        <v>7</v>
      </c>
      <c r="BH84" s="68"/>
      <c r="BI84" s="69"/>
      <c r="BK84" s="67" t="s">
        <v>7</v>
      </c>
      <c r="BL84" s="68"/>
      <c r="BM84" s="69"/>
      <c r="BO84" s="67" t="s">
        <v>7</v>
      </c>
      <c r="BP84" s="68"/>
      <c r="BQ84" s="69"/>
      <c r="BS84" s="67" t="s">
        <v>7</v>
      </c>
      <c r="BT84" s="68"/>
      <c r="BU84" s="69"/>
      <c r="BW84" s="67" t="s">
        <v>7</v>
      </c>
      <c r="BX84" s="68"/>
      <c r="BY84" s="69"/>
      <c r="CA84" s="67" t="s">
        <v>7</v>
      </c>
      <c r="CB84" s="68"/>
      <c r="CC84" s="69"/>
      <c r="CE84" s="67" t="s">
        <v>7</v>
      </c>
      <c r="CF84" s="68"/>
      <c r="CG84" s="69"/>
      <c r="CI84" s="67" t="s">
        <v>7</v>
      </c>
      <c r="CJ84" s="68"/>
      <c r="CK84" s="69"/>
      <c r="CM84" s="17"/>
      <c r="CN84" s="17"/>
      <c r="CO84" s="17"/>
      <c r="CQ84" s="17"/>
      <c r="CR84" s="17"/>
      <c r="CS84" s="17"/>
      <c r="CU84" s="17"/>
      <c r="CV84" s="17"/>
      <c r="CW84" s="17"/>
      <c r="CY84" s="17"/>
      <c r="CZ84" s="17"/>
      <c r="DA84" s="17"/>
    </row>
    <row r="85" spans="3:105" x14ac:dyDescent="0.25">
      <c r="C85" s="5" t="s">
        <v>10</v>
      </c>
      <c r="D85" t="s">
        <v>11</v>
      </c>
      <c r="E85" s="4" t="s">
        <v>12</v>
      </c>
      <c r="G85" s="5" t="s">
        <v>10</v>
      </c>
      <c r="H85" t="s">
        <v>11</v>
      </c>
      <c r="I85" s="4" t="s">
        <v>12</v>
      </c>
      <c r="K85" s="5" t="s">
        <v>10</v>
      </c>
      <c r="L85" t="s">
        <v>11</v>
      </c>
      <c r="M85" s="4" t="s">
        <v>12</v>
      </c>
      <c r="O85" s="5" t="s">
        <v>10</v>
      </c>
      <c r="P85" t="s">
        <v>11</v>
      </c>
      <c r="Q85" s="4" t="s">
        <v>12</v>
      </c>
      <c r="S85" s="5" t="s">
        <v>10</v>
      </c>
      <c r="T85" t="s">
        <v>11</v>
      </c>
      <c r="U85" s="4" t="s">
        <v>12</v>
      </c>
      <c r="W85" s="5" t="s">
        <v>10</v>
      </c>
      <c r="X85" t="s">
        <v>11</v>
      </c>
      <c r="Y85" s="4" t="s">
        <v>12</v>
      </c>
      <c r="AA85" s="5" t="s">
        <v>10</v>
      </c>
      <c r="AB85" t="s">
        <v>11</v>
      </c>
      <c r="AC85" s="4" t="s">
        <v>12</v>
      </c>
      <c r="AE85" s="5" t="s">
        <v>10</v>
      </c>
      <c r="AF85" t="s">
        <v>11</v>
      </c>
      <c r="AG85" s="4" t="s">
        <v>12</v>
      </c>
      <c r="AI85" s="5" t="s">
        <v>10</v>
      </c>
      <c r="AJ85" t="s">
        <v>11</v>
      </c>
      <c r="AK85" s="4" t="s">
        <v>12</v>
      </c>
      <c r="AM85" s="5" t="s">
        <v>10</v>
      </c>
      <c r="AN85" t="s">
        <v>11</v>
      </c>
      <c r="AO85" s="4" t="s">
        <v>12</v>
      </c>
      <c r="AQ85" s="5" t="s">
        <v>10</v>
      </c>
      <c r="AR85" t="s">
        <v>11</v>
      </c>
      <c r="AS85" s="4" t="s">
        <v>12</v>
      </c>
      <c r="AU85" s="5" t="s">
        <v>10</v>
      </c>
      <c r="AV85" t="s">
        <v>11</v>
      </c>
      <c r="AW85" s="4" t="s">
        <v>12</v>
      </c>
      <c r="AY85" s="5" t="s">
        <v>10</v>
      </c>
      <c r="AZ85" t="s">
        <v>11</v>
      </c>
      <c r="BA85" s="4" t="s">
        <v>12</v>
      </c>
      <c r="BC85" s="5" t="s">
        <v>10</v>
      </c>
      <c r="BD85" t="s">
        <v>11</v>
      </c>
      <c r="BE85" s="4" t="s">
        <v>12</v>
      </c>
      <c r="BG85" s="5" t="s">
        <v>10</v>
      </c>
      <c r="BH85" t="s">
        <v>11</v>
      </c>
      <c r="BI85" s="4" t="s">
        <v>12</v>
      </c>
      <c r="BK85" s="5" t="s">
        <v>10</v>
      </c>
      <c r="BL85" t="s">
        <v>11</v>
      </c>
      <c r="BM85" s="4" t="s">
        <v>12</v>
      </c>
      <c r="BO85" s="5" t="s">
        <v>10</v>
      </c>
      <c r="BP85" t="s">
        <v>11</v>
      </c>
      <c r="BQ85" s="4" t="s">
        <v>12</v>
      </c>
      <c r="BS85" s="5" t="s">
        <v>10</v>
      </c>
      <c r="BT85" t="s">
        <v>11</v>
      </c>
      <c r="BU85" s="4" t="s">
        <v>12</v>
      </c>
      <c r="BW85" s="5" t="s">
        <v>10</v>
      </c>
      <c r="BX85" t="s">
        <v>11</v>
      </c>
      <c r="BY85" s="4" t="s">
        <v>12</v>
      </c>
      <c r="CA85" s="5" t="s">
        <v>10</v>
      </c>
      <c r="CB85" t="s">
        <v>11</v>
      </c>
      <c r="CC85" s="4" t="s">
        <v>12</v>
      </c>
      <c r="CE85" s="5" t="s">
        <v>10</v>
      </c>
      <c r="CF85" t="s">
        <v>11</v>
      </c>
      <c r="CG85" s="4" t="s">
        <v>12</v>
      </c>
      <c r="CI85" s="5" t="s">
        <v>10</v>
      </c>
      <c r="CJ85" t="s">
        <v>11</v>
      </c>
      <c r="CK85" s="4" t="s">
        <v>12</v>
      </c>
    </row>
    <row r="86" spans="3:105" x14ac:dyDescent="0.25">
      <c r="C86" s="28" t="s">
        <v>149</v>
      </c>
      <c r="D86" s="29">
        <v>4.0000000000000001E-10</v>
      </c>
      <c r="E86" s="30" t="s">
        <v>150</v>
      </c>
      <c r="G86" s="5" t="s">
        <v>171</v>
      </c>
      <c r="H86">
        <v>0.91</v>
      </c>
      <c r="I86" s="4" t="s">
        <v>22</v>
      </c>
      <c r="K86" s="5" t="s">
        <v>188</v>
      </c>
      <c r="L86">
        <v>2</v>
      </c>
      <c r="M86" s="4" t="s">
        <v>22</v>
      </c>
      <c r="O86" s="5" t="s">
        <v>204</v>
      </c>
      <c r="P86">
        <v>0.86</v>
      </c>
      <c r="Q86" s="4" t="s">
        <v>22</v>
      </c>
      <c r="S86" s="5" t="s">
        <v>223</v>
      </c>
      <c r="T86">
        <v>1</v>
      </c>
      <c r="U86" s="4" t="s">
        <v>22</v>
      </c>
      <c r="W86" s="5" t="s">
        <v>227</v>
      </c>
      <c r="X86">
        <v>1</v>
      </c>
      <c r="Y86" s="4" t="s">
        <v>22</v>
      </c>
      <c r="AA86" s="5" t="s">
        <v>227</v>
      </c>
      <c r="AB86">
        <v>1</v>
      </c>
      <c r="AC86" s="4" t="s">
        <v>22</v>
      </c>
      <c r="AE86" s="5" t="s">
        <v>249</v>
      </c>
      <c r="AF86">
        <v>1</v>
      </c>
      <c r="AG86" s="4" t="s">
        <v>22</v>
      </c>
      <c r="AI86" s="5" t="s">
        <v>254</v>
      </c>
      <c r="AJ86">
        <v>1</v>
      </c>
      <c r="AK86" s="4" t="s">
        <v>22</v>
      </c>
      <c r="AM86" s="5" t="s">
        <v>257</v>
      </c>
      <c r="AN86">
        <v>1.08</v>
      </c>
      <c r="AO86" s="4" t="s">
        <v>22</v>
      </c>
      <c r="AQ86" s="5" t="s">
        <v>280</v>
      </c>
      <c r="AR86">
        <v>1.53</v>
      </c>
      <c r="AS86" s="4" t="s">
        <v>22</v>
      </c>
      <c r="AU86" s="5" t="s">
        <v>332</v>
      </c>
      <c r="AV86">
        <v>3.0000000000000001E-3</v>
      </c>
      <c r="AW86" s="4" t="s">
        <v>22</v>
      </c>
      <c r="AY86" s="5" t="s">
        <v>340</v>
      </c>
      <c r="AZ86">
        <v>1.32</v>
      </c>
      <c r="BA86" s="4" t="s">
        <v>22</v>
      </c>
      <c r="BC86" s="5" t="s">
        <v>371</v>
      </c>
      <c r="BD86">
        <v>1.35</v>
      </c>
      <c r="BE86" s="4" t="s">
        <v>22</v>
      </c>
      <c r="BG86" s="5" t="s">
        <v>376</v>
      </c>
      <c r="BH86">
        <v>0.50829000000000002</v>
      </c>
      <c r="BI86" s="4" t="s">
        <v>22</v>
      </c>
      <c r="BK86" s="5" t="s">
        <v>376</v>
      </c>
      <c r="BL86">
        <v>0.57813000000000003</v>
      </c>
      <c r="BM86" s="4" t="s">
        <v>22</v>
      </c>
      <c r="BO86" s="5" t="s">
        <v>381</v>
      </c>
      <c r="BP86">
        <v>0.13500000000000001</v>
      </c>
      <c r="BQ86" s="4" t="s">
        <v>22</v>
      </c>
      <c r="BS86" s="5" t="s">
        <v>223</v>
      </c>
      <c r="BT86">
        <v>0.89149999999999996</v>
      </c>
      <c r="BU86" s="4" t="s">
        <v>22</v>
      </c>
      <c r="BW86" s="5" t="s">
        <v>227</v>
      </c>
      <c r="BX86">
        <v>1</v>
      </c>
      <c r="BY86" s="4" t="s">
        <v>22</v>
      </c>
      <c r="CA86" s="5" t="s">
        <v>394</v>
      </c>
      <c r="CB86">
        <v>0.34816999999999998</v>
      </c>
      <c r="CC86" s="4" t="s">
        <v>22</v>
      </c>
      <c r="CE86" s="5" t="s">
        <v>227</v>
      </c>
      <c r="CF86">
        <v>1</v>
      </c>
      <c r="CG86" s="4" t="s">
        <v>22</v>
      </c>
      <c r="CI86" s="5" t="s">
        <v>402</v>
      </c>
      <c r="CJ86">
        <v>1</v>
      </c>
      <c r="CK86" s="4" t="s">
        <v>22</v>
      </c>
    </row>
    <row r="87" spans="3:105" x14ac:dyDescent="0.25">
      <c r="C87" s="28" t="s">
        <v>151</v>
      </c>
      <c r="D87" s="31">
        <v>39.31</v>
      </c>
      <c r="E87" s="30" t="s">
        <v>26</v>
      </c>
      <c r="G87" s="5" t="s">
        <v>149</v>
      </c>
      <c r="H87">
        <v>7.8999999999999996E-10</v>
      </c>
      <c r="I87" s="4" t="s">
        <v>150</v>
      </c>
      <c r="K87" s="5" t="s">
        <v>151</v>
      </c>
      <c r="L87">
        <v>5.25</v>
      </c>
      <c r="M87" s="4" t="s">
        <v>26</v>
      </c>
      <c r="O87" s="5" t="s">
        <v>205</v>
      </c>
      <c r="P87">
        <v>1.4959999999999999E-2</v>
      </c>
      <c r="Q87" s="4" t="s">
        <v>22</v>
      </c>
      <c r="S87" s="5" t="s">
        <v>224</v>
      </c>
      <c r="T87">
        <v>4.0000000000000001E-10</v>
      </c>
      <c r="U87" s="4" t="s">
        <v>150</v>
      </c>
      <c r="W87" s="5" t="s">
        <v>228</v>
      </c>
      <c r="X87">
        <v>1</v>
      </c>
      <c r="Y87" s="4" t="s">
        <v>22</v>
      </c>
      <c r="AA87" s="5" t="s">
        <v>152</v>
      </c>
      <c r="AB87">
        <v>0.33329999999999999</v>
      </c>
      <c r="AC87" s="4" t="s">
        <v>22</v>
      </c>
      <c r="AE87" s="5" t="s">
        <v>250</v>
      </c>
      <c r="AF87">
        <v>1</v>
      </c>
      <c r="AG87" s="4" t="s">
        <v>22</v>
      </c>
      <c r="AI87" s="5" t="s">
        <v>255</v>
      </c>
      <c r="AJ87">
        <v>1</v>
      </c>
      <c r="AK87" s="4" t="s">
        <v>22</v>
      </c>
      <c r="AM87" s="5" t="s">
        <v>258</v>
      </c>
      <c r="AN87">
        <v>2.49E-3</v>
      </c>
      <c r="AO87" s="4" t="s">
        <v>279</v>
      </c>
      <c r="AQ87" s="5" t="s">
        <v>281</v>
      </c>
      <c r="AR87">
        <v>9.0000000000000006E-5</v>
      </c>
      <c r="AS87" s="4" t="s">
        <v>68</v>
      </c>
      <c r="AU87" s="5" t="s">
        <v>333</v>
      </c>
      <c r="AV87">
        <v>3.9999999999999998E-11</v>
      </c>
      <c r="AW87" s="4" t="s">
        <v>150</v>
      </c>
      <c r="AY87" s="5" t="s">
        <v>339</v>
      </c>
      <c r="AZ87">
        <v>5.2199999999999998E-3</v>
      </c>
      <c r="BA87" s="4" t="s">
        <v>68</v>
      </c>
      <c r="BC87" s="5" t="s">
        <v>372</v>
      </c>
      <c r="BD87">
        <v>0.31</v>
      </c>
      <c r="BE87" s="4" t="s">
        <v>22</v>
      </c>
      <c r="BG87" s="5" t="s">
        <v>267</v>
      </c>
      <c r="BH87">
        <v>0.30146000000000001</v>
      </c>
      <c r="BI87" s="4" t="s">
        <v>174</v>
      </c>
      <c r="BK87" s="5" t="s">
        <v>267</v>
      </c>
      <c r="BL87">
        <v>0.33</v>
      </c>
      <c r="BM87" s="4" t="s">
        <v>174</v>
      </c>
      <c r="BO87" s="5" t="s">
        <v>384</v>
      </c>
      <c r="BP87">
        <v>0.13500000000000001</v>
      </c>
      <c r="BQ87" s="4" t="s">
        <v>22</v>
      </c>
      <c r="BS87" s="5" t="s">
        <v>227</v>
      </c>
      <c r="BT87">
        <v>0.109</v>
      </c>
      <c r="BU87" s="4" t="s">
        <v>22</v>
      </c>
      <c r="BW87" s="5" t="s">
        <v>228</v>
      </c>
      <c r="BX87">
        <v>0.33900000000000002</v>
      </c>
      <c r="BY87" s="4" t="s">
        <v>22</v>
      </c>
      <c r="CA87" s="5" t="s">
        <v>395</v>
      </c>
      <c r="CB87">
        <v>0.61978</v>
      </c>
      <c r="CC87" s="4" t="s">
        <v>22</v>
      </c>
      <c r="CE87" s="5" t="s">
        <v>400</v>
      </c>
      <c r="CF87">
        <v>1</v>
      </c>
      <c r="CG87" s="4" t="s">
        <v>22</v>
      </c>
      <c r="CI87" s="5" t="s">
        <v>250</v>
      </c>
      <c r="CJ87">
        <v>1</v>
      </c>
      <c r="CK87" s="4" t="s">
        <v>22</v>
      </c>
    </row>
    <row r="88" spans="3:105" x14ac:dyDescent="0.25">
      <c r="C88" s="28" t="s">
        <v>152</v>
      </c>
      <c r="D88" s="31">
        <v>3.2</v>
      </c>
      <c r="E88" s="30" t="s">
        <v>22</v>
      </c>
      <c r="G88" s="5" t="s">
        <v>172</v>
      </c>
      <c r="H88">
        <v>1.46E-2</v>
      </c>
      <c r="I88" s="4" t="s">
        <v>22</v>
      </c>
      <c r="K88" s="5" t="s">
        <v>151</v>
      </c>
      <c r="L88">
        <v>0.87</v>
      </c>
      <c r="M88" s="4" t="s">
        <v>26</v>
      </c>
      <c r="O88" s="5" t="s">
        <v>76</v>
      </c>
      <c r="P88">
        <v>1.32</v>
      </c>
      <c r="Q88" s="4" t="s">
        <v>174</v>
      </c>
      <c r="S88" s="5" t="s">
        <v>225</v>
      </c>
      <c r="T88">
        <v>1</v>
      </c>
      <c r="U88" s="4" t="s">
        <v>22</v>
      </c>
      <c r="W88" s="5" t="s">
        <v>158</v>
      </c>
      <c r="X88">
        <v>0.2</v>
      </c>
      <c r="Y88" s="4" t="s">
        <v>159</v>
      </c>
      <c r="AA88" s="5" t="s">
        <v>247</v>
      </c>
      <c r="AB88">
        <v>0.33329999999999999</v>
      </c>
      <c r="AC88" s="4" t="s">
        <v>22</v>
      </c>
      <c r="AE88" s="5" t="s">
        <v>158</v>
      </c>
      <c r="AF88">
        <v>0.2</v>
      </c>
      <c r="AG88" s="4" t="s">
        <v>159</v>
      </c>
      <c r="AI88" s="5" t="s">
        <v>158</v>
      </c>
      <c r="AJ88">
        <v>0.2</v>
      </c>
      <c r="AK88" s="4" t="s">
        <v>159</v>
      </c>
      <c r="AM88" s="5" t="s">
        <v>259</v>
      </c>
      <c r="AN88">
        <v>0.25</v>
      </c>
      <c r="AO88" s="4" t="s">
        <v>22</v>
      </c>
      <c r="AQ88" s="5" t="s">
        <v>282</v>
      </c>
      <c r="AR88">
        <v>2.5000000000000001E-11</v>
      </c>
      <c r="AS88" s="4" t="s">
        <v>150</v>
      </c>
      <c r="AU88" s="5" t="s">
        <v>173</v>
      </c>
      <c r="AV88">
        <v>0.42</v>
      </c>
      <c r="AW88" s="4" t="s">
        <v>174</v>
      </c>
      <c r="AY88" s="5" t="s">
        <v>347</v>
      </c>
      <c r="AZ88">
        <v>1.5E-5</v>
      </c>
      <c r="BA88" s="4" t="s">
        <v>22</v>
      </c>
      <c r="BC88" s="5" t="s">
        <v>267</v>
      </c>
      <c r="BD88">
        <v>0.2</v>
      </c>
      <c r="BE88" s="4" t="s">
        <v>26</v>
      </c>
      <c r="BG88" s="5" t="s">
        <v>151</v>
      </c>
      <c r="BH88">
        <v>1.8105899999999999</v>
      </c>
      <c r="BI88" s="4" t="s">
        <v>26</v>
      </c>
      <c r="BK88" s="5" t="s">
        <v>382</v>
      </c>
      <c r="BL88">
        <v>0.69535999999999998</v>
      </c>
      <c r="BM88" s="4" t="s">
        <v>22</v>
      </c>
      <c r="BO88" s="5" t="s">
        <v>382</v>
      </c>
      <c r="BP88">
        <v>0.13500000000000001</v>
      </c>
      <c r="BQ88" s="4" t="s">
        <v>22</v>
      </c>
      <c r="BS88" s="5" t="s">
        <v>228</v>
      </c>
      <c r="BT88">
        <v>0.109</v>
      </c>
      <c r="BU88" s="4" t="s">
        <v>22</v>
      </c>
      <c r="BW88" s="5" t="s">
        <v>247</v>
      </c>
      <c r="BX88">
        <v>0.66108999999999996</v>
      </c>
      <c r="BY88" s="4" t="s">
        <v>22</v>
      </c>
      <c r="CA88" s="5" t="s">
        <v>396</v>
      </c>
      <c r="CB88">
        <v>3.2050000000000002E-2</v>
      </c>
      <c r="CC88" s="4" t="s">
        <v>22</v>
      </c>
      <c r="CE88" s="5" t="s">
        <v>158</v>
      </c>
      <c r="CF88">
        <v>0.2</v>
      </c>
      <c r="CG88" s="4" t="s">
        <v>159</v>
      </c>
      <c r="CI88" s="5" t="s">
        <v>158</v>
      </c>
      <c r="CJ88">
        <v>0.2</v>
      </c>
      <c r="CK88" s="4" t="s">
        <v>159</v>
      </c>
    </row>
    <row r="89" spans="3:105" x14ac:dyDescent="0.25">
      <c r="C89" s="28" t="s">
        <v>153</v>
      </c>
      <c r="D89" s="31">
        <v>0.11</v>
      </c>
      <c r="E89" s="30" t="s">
        <v>22</v>
      </c>
      <c r="G89" s="5" t="s">
        <v>173</v>
      </c>
      <c r="H89">
        <v>2.4</v>
      </c>
      <c r="I89" s="4" t="s">
        <v>174</v>
      </c>
      <c r="K89" s="5" t="s">
        <v>200</v>
      </c>
      <c r="L89">
        <v>7.9600000000000004E-2</v>
      </c>
      <c r="M89" s="4" t="s">
        <v>26</v>
      </c>
      <c r="O89" s="5" t="s">
        <v>206</v>
      </c>
      <c r="P89">
        <v>2.8800000000000002E-3</v>
      </c>
      <c r="Q89" s="4" t="s">
        <v>86</v>
      </c>
      <c r="S89" s="5" t="s">
        <v>158</v>
      </c>
      <c r="T89">
        <v>0.2</v>
      </c>
      <c r="U89" s="4" t="s">
        <v>159</v>
      </c>
      <c r="W89" s="5" t="s">
        <v>160</v>
      </c>
      <c r="X89">
        <v>0.1</v>
      </c>
      <c r="Y89" s="4" t="s">
        <v>159</v>
      </c>
      <c r="AA89" s="5" t="s">
        <v>157</v>
      </c>
      <c r="AB89">
        <v>0.33329999999999999</v>
      </c>
      <c r="AC89" s="4" t="s">
        <v>22</v>
      </c>
      <c r="AE89" s="5" t="s">
        <v>160</v>
      </c>
      <c r="AF89">
        <v>0.1</v>
      </c>
      <c r="AG89" s="4" t="s">
        <v>159</v>
      </c>
      <c r="AI89" s="5" t="s">
        <v>160</v>
      </c>
      <c r="AJ89">
        <v>0.1</v>
      </c>
      <c r="AK89" s="4" t="s">
        <v>159</v>
      </c>
      <c r="AM89" s="5" t="s">
        <v>260</v>
      </c>
      <c r="AN89">
        <v>8.2999999999999998E-5</v>
      </c>
      <c r="AO89" s="4" t="s">
        <v>27</v>
      </c>
      <c r="AQ89" s="5" t="s">
        <v>283</v>
      </c>
      <c r="AR89">
        <v>5.9685300000000001E-6</v>
      </c>
      <c r="AS89" s="4" t="s">
        <v>22</v>
      </c>
      <c r="AU89" s="5" t="s">
        <v>286</v>
      </c>
      <c r="AV89">
        <v>1.4E-2</v>
      </c>
      <c r="AW89" s="4" t="s">
        <v>22</v>
      </c>
      <c r="AY89" s="5" t="s">
        <v>332</v>
      </c>
      <c r="AZ89">
        <v>3.0000000000000001E-3</v>
      </c>
      <c r="BA89" s="4" t="s">
        <v>22</v>
      </c>
      <c r="BC89" s="5" t="s">
        <v>151</v>
      </c>
      <c r="BD89">
        <v>0.93</v>
      </c>
      <c r="BE89" s="4" t="s">
        <v>26</v>
      </c>
      <c r="BG89" s="5" t="s">
        <v>380</v>
      </c>
      <c r="BH89">
        <v>8.8400000000000006E-2</v>
      </c>
      <c r="BI89" s="4" t="s">
        <v>22</v>
      </c>
      <c r="BK89" s="5" t="s">
        <v>383</v>
      </c>
      <c r="BL89">
        <v>6.4099999999999999E-3</v>
      </c>
      <c r="BM89" s="4" t="s">
        <v>22</v>
      </c>
      <c r="BO89" s="5" t="s">
        <v>374</v>
      </c>
      <c r="BP89">
        <v>6.7500000000000004E-2</v>
      </c>
      <c r="BQ89" s="4" t="s">
        <v>22</v>
      </c>
      <c r="BS89" s="5" t="s">
        <v>386</v>
      </c>
      <c r="BT89">
        <v>1.8E-12</v>
      </c>
      <c r="BU89" s="4" t="s">
        <v>150</v>
      </c>
      <c r="BW89" s="5" t="s">
        <v>160</v>
      </c>
      <c r="BX89">
        <v>5.203E-2</v>
      </c>
      <c r="BY89" s="4" t="s">
        <v>159</v>
      </c>
      <c r="CA89" s="5" t="s">
        <v>397</v>
      </c>
      <c r="CB89">
        <v>0.34816999999999998</v>
      </c>
      <c r="CC89" s="4" t="s">
        <v>22</v>
      </c>
      <c r="CE89" s="5" t="s">
        <v>160</v>
      </c>
      <c r="CF89">
        <v>0.1</v>
      </c>
      <c r="CG89" s="4" t="s">
        <v>159</v>
      </c>
      <c r="CI89" s="5" t="s">
        <v>160</v>
      </c>
      <c r="CJ89">
        <v>0.1</v>
      </c>
      <c r="CK89" s="4" t="s">
        <v>159</v>
      </c>
    </row>
    <row r="90" spans="3:105" x14ac:dyDescent="0.25">
      <c r="C90" s="28" t="s">
        <v>154</v>
      </c>
      <c r="D90" s="31">
        <v>0.6</v>
      </c>
      <c r="E90" s="30" t="s">
        <v>22</v>
      </c>
      <c r="G90" s="5" t="s">
        <v>175</v>
      </c>
      <c r="H90">
        <v>2.8800000000000002E-3</v>
      </c>
      <c r="I90" s="4" t="s">
        <v>150</v>
      </c>
      <c r="K90" s="67" t="s">
        <v>161</v>
      </c>
      <c r="L90" s="68"/>
      <c r="M90" s="69"/>
      <c r="O90" s="5" t="s">
        <v>207</v>
      </c>
      <c r="P90">
        <v>0.42</v>
      </c>
      <c r="Q90" s="4" t="s">
        <v>26</v>
      </c>
      <c r="S90" s="5" t="s">
        <v>160</v>
      </c>
      <c r="T90">
        <v>0.1</v>
      </c>
      <c r="U90" s="4" t="s">
        <v>159</v>
      </c>
      <c r="W90" s="67" t="s">
        <v>161</v>
      </c>
      <c r="X90" s="68"/>
      <c r="Y90" s="69"/>
      <c r="AA90" s="5" t="s">
        <v>158</v>
      </c>
      <c r="AB90">
        <v>0.2</v>
      </c>
      <c r="AC90" s="4" t="s">
        <v>159</v>
      </c>
      <c r="AE90" s="5" t="s">
        <v>251</v>
      </c>
      <c r="AF90">
        <v>3.2599999999999997E-2</v>
      </c>
      <c r="AG90" s="4" t="s">
        <v>252</v>
      </c>
      <c r="AI90" s="67" t="s">
        <v>161</v>
      </c>
      <c r="AJ90" s="68"/>
      <c r="AK90" s="69"/>
      <c r="AM90" s="5" t="s">
        <v>261</v>
      </c>
      <c r="AN90">
        <v>8.2999999999999998E-5</v>
      </c>
      <c r="AO90" s="4" t="s">
        <v>27</v>
      </c>
      <c r="AQ90" s="5" t="s">
        <v>284</v>
      </c>
      <c r="AR90">
        <v>1.3699999999999999E-3</v>
      </c>
      <c r="AS90" s="4" t="s">
        <v>22</v>
      </c>
      <c r="AU90" s="5" t="s">
        <v>334</v>
      </c>
      <c r="AV90">
        <v>2.5000000000000001E-2</v>
      </c>
      <c r="AW90" s="4" t="s">
        <v>68</v>
      </c>
      <c r="AY90" s="5" t="s">
        <v>348</v>
      </c>
      <c r="AZ90">
        <v>3.29E-3</v>
      </c>
      <c r="BA90" s="4" t="s">
        <v>22</v>
      </c>
      <c r="BC90" s="5" t="s">
        <v>153</v>
      </c>
      <c r="BD90">
        <v>0.37</v>
      </c>
      <c r="BE90" s="4" t="s">
        <v>22</v>
      </c>
      <c r="BG90" s="5" t="s">
        <v>374</v>
      </c>
      <c r="BH90">
        <v>0.85634999999999994</v>
      </c>
      <c r="BI90" s="4" t="s">
        <v>22</v>
      </c>
      <c r="BK90" s="67" t="s">
        <v>161</v>
      </c>
      <c r="BL90" s="68"/>
      <c r="BM90" s="69"/>
      <c r="BO90" s="5" t="s">
        <v>158</v>
      </c>
      <c r="BP90">
        <v>0.2</v>
      </c>
      <c r="BQ90" s="4" t="s">
        <v>159</v>
      </c>
      <c r="BS90" s="5" t="s">
        <v>387</v>
      </c>
      <c r="BT90">
        <v>1.452</v>
      </c>
      <c r="BU90" s="4" t="s">
        <v>22</v>
      </c>
      <c r="BW90" s="5" t="s">
        <v>160</v>
      </c>
      <c r="BX90">
        <v>1.821E-2</v>
      </c>
      <c r="BY90" s="4" t="s">
        <v>159</v>
      </c>
      <c r="CA90" s="5" t="s">
        <v>160</v>
      </c>
      <c r="CB90">
        <v>1.821E-2</v>
      </c>
      <c r="CC90" s="4" t="s">
        <v>159</v>
      </c>
      <c r="CE90" s="67" t="s">
        <v>161</v>
      </c>
      <c r="CF90" s="68"/>
      <c r="CG90" s="69"/>
      <c r="CI90" s="67" t="s">
        <v>161</v>
      </c>
      <c r="CJ90" s="68"/>
      <c r="CK90" s="69"/>
    </row>
    <row r="91" spans="3:105" ht="15.75" thickBot="1" x14ac:dyDescent="0.3">
      <c r="C91" s="28" t="s">
        <v>155</v>
      </c>
      <c r="D91" s="31">
        <v>3</v>
      </c>
      <c r="E91" s="30" t="s">
        <v>22</v>
      </c>
      <c r="G91" s="5" t="s">
        <v>151</v>
      </c>
      <c r="H91">
        <v>4.17</v>
      </c>
      <c r="I91" s="4" t="s">
        <v>26</v>
      </c>
      <c r="K91" s="25" t="s">
        <v>201</v>
      </c>
      <c r="L91" s="26">
        <v>1</v>
      </c>
      <c r="M91" s="27" t="s">
        <v>22</v>
      </c>
      <c r="O91" s="5" t="s">
        <v>208</v>
      </c>
      <c r="P91">
        <v>1.2</v>
      </c>
      <c r="Q91" s="4" t="s">
        <v>26</v>
      </c>
      <c r="S91" s="67" t="s">
        <v>161</v>
      </c>
      <c r="T91" s="68"/>
      <c r="U91" s="69"/>
      <c r="W91" s="22" t="s">
        <v>229</v>
      </c>
      <c r="X91" s="23">
        <v>1</v>
      </c>
      <c r="Y91" s="24" t="s">
        <v>22</v>
      </c>
      <c r="AA91" s="5" t="s">
        <v>160</v>
      </c>
      <c r="AB91">
        <v>0.1</v>
      </c>
      <c r="AC91" s="4" t="s">
        <v>159</v>
      </c>
      <c r="AE91" s="67" t="s">
        <v>161</v>
      </c>
      <c r="AF91" s="68"/>
      <c r="AG91" s="69"/>
      <c r="AI91" s="22" t="s">
        <v>256</v>
      </c>
      <c r="AJ91" s="23">
        <v>1</v>
      </c>
      <c r="AK91" s="24" t="s">
        <v>22</v>
      </c>
      <c r="AM91" s="5" t="s">
        <v>262</v>
      </c>
      <c r="AN91">
        <v>3.4000000000000002E-2</v>
      </c>
      <c r="AO91" s="4" t="s">
        <v>22</v>
      </c>
      <c r="AQ91" s="5" t="s">
        <v>285</v>
      </c>
      <c r="AR91">
        <v>2.2899999999999999E-3</v>
      </c>
      <c r="AS91" s="4" t="s">
        <v>174</v>
      </c>
      <c r="AU91" s="5" t="s">
        <v>335</v>
      </c>
      <c r="AV91">
        <v>5.0729999999999997E-2</v>
      </c>
      <c r="AW91" s="4" t="s">
        <v>22</v>
      </c>
      <c r="AY91" s="5" t="s">
        <v>349</v>
      </c>
      <c r="AZ91">
        <v>5.1999999999999997E-5</v>
      </c>
      <c r="BA91" s="4" t="s">
        <v>22</v>
      </c>
      <c r="BC91" s="5" t="s">
        <v>373</v>
      </c>
      <c r="BD91">
        <v>0.5</v>
      </c>
      <c r="BE91" s="4" t="s">
        <v>22</v>
      </c>
      <c r="BG91" s="67" t="s">
        <v>161</v>
      </c>
      <c r="BH91" s="68"/>
      <c r="BI91" s="69"/>
      <c r="BK91" s="25" t="s">
        <v>384</v>
      </c>
      <c r="BL91" s="26">
        <v>1</v>
      </c>
      <c r="BM91" s="27" t="s">
        <v>22</v>
      </c>
      <c r="BO91" s="5" t="s">
        <v>160</v>
      </c>
      <c r="BP91">
        <v>0.1</v>
      </c>
      <c r="BQ91" s="4" t="s">
        <v>159</v>
      </c>
      <c r="BS91" s="5" t="s">
        <v>158</v>
      </c>
      <c r="BT91">
        <v>0.19</v>
      </c>
      <c r="BU91" s="4" t="s">
        <v>159</v>
      </c>
      <c r="BW91" s="5" t="s">
        <v>392</v>
      </c>
      <c r="BX91">
        <v>20.8415</v>
      </c>
      <c r="BY91" s="4" t="s">
        <v>159</v>
      </c>
      <c r="CA91" s="5" t="s">
        <v>398</v>
      </c>
      <c r="CB91">
        <v>0.39001999999999998</v>
      </c>
      <c r="CC91" s="4" t="s">
        <v>159</v>
      </c>
      <c r="CE91" s="22" t="s">
        <v>401</v>
      </c>
      <c r="CF91" s="23">
        <v>1</v>
      </c>
      <c r="CG91" s="24" t="s">
        <v>22</v>
      </c>
      <c r="CI91" s="22" t="s">
        <v>403</v>
      </c>
      <c r="CJ91" s="23">
        <v>1</v>
      </c>
      <c r="CK91" s="24" t="s">
        <v>22</v>
      </c>
    </row>
    <row r="92" spans="3:105" ht="15.75" thickBot="1" x14ac:dyDescent="0.3">
      <c r="C92" s="28" t="s">
        <v>156</v>
      </c>
      <c r="D92" s="31">
        <v>1</v>
      </c>
      <c r="E92" s="30" t="s">
        <v>22</v>
      </c>
      <c r="G92" s="5" t="s">
        <v>176</v>
      </c>
      <c r="H92">
        <v>2.08</v>
      </c>
      <c r="I92" s="4" t="s">
        <v>26</v>
      </c>
      <c r="K92" s="5" t="s">
        <v>164</v>
      </c>
      <c r="L92">
        <v>1.31</v>
      </c>
      <c r="M92" s="4" t="s">
        <v>22</v>
      </c>
      <c r="O92" s="5" t="s">
        <v>209</v>
      </c>
      <c r="P92">
        <v>2.2000000000000001E-4</v>
      </c>
      <c r="Q92" s="4" t="s">
        <v>22</v>
      </c>
      <c r="S92" s="22" t="s">
        <v>226</v>
      </c>
      <c r="T92" s="23">
        <v>1</v>
      </c>
      <c r="U92" s="24" t="s">
        <v>22</v>
      </c>
      <c r="AA92" s="67" t="s">
        <v>161</v>
      </c>
      <c r="AB92" s="68"/>
      <c r="AC92" s="69"/>
      <c r="AE92" s="22" t="s">
        <v>253</v>
      </c>
      <c r="AF92" s="23">
        <v>1</v>
      </c>
      <c r="AG92" s="24" t="s">
        <v>22</v>
      </c>
      <c r="AM92" s="5" t="s">
        <v>263</v>
      </c>
      <c r="AN92">
        <v>5.8999999999999998E-5</v>
      </c>
      <c r="AO92" s="4" t="s">
        <v>68</v>
      </c>
      <c r="AQ92" s="5" t="s">
        <v>173</v>
      </c>
      <c r="AR92">
        <v>2.5000000000000001E-2</v>
      </c>
      <c r="AS92" s="4" t="s">
        <v>174</v>
      </c>
      <c r="AU92" s="5" t="s">
        <v>336</v>
      </c>
      <c r="AV92">
        <v>1.46</v>
      </c>
      <c r="AW92" s="4" t="s">
        <v>22</v>
      </c>
      <c r="AY92" s="5" t="s">
        <v>350</v>
      </c>
      <c r="AZ92">
        <v>3.46E-3</v>
      </c>
      <c r="BA92" s="4" t="s">
        <v>26</v>
      </c>
      <c r="BC92" s="5" t="s">
        <v>374</v>
      </c>
      <c r="BD92">
        <v>0.46</v>
      </c>
      <c r="BE92" s="4" t="s">
        <v>22</v>
      </c>
      <c r="BG92" s="22" t="s">
        <v>381</v>
      </c>
      <c r="BH92" s="23">
        <v>1</v>
      </c>
      <c r="BI92" s="24" t="s">
        <v>22</v>
      </c>
      <c r="BK92" s="6" t="s">
        <v>191</v>
      </c>
      <c r="BL92" s="7">
        <v>0.28632000000000002</v>
      </c>
      <c r="BM92" s="8" t="s">
        <v>22</v>
      </c>
      <c r="BO92" s="5" t="s">
        <v>186</v>
      </c>
      <c r="BP92">
        <v>0.87749999999999995</v>
      </c>
      <c r="BQ92" s="4" t="s">
        <v>22</v>
      </c>
      <c r="BS92" s="5" t="s">
        <v>160</v>
      </c>
      <c r="BT92">
        <v>9.3700000000000006E-2</v>
      </c>
      <c r="BU92" s="4" t="s">
        <v>159</v>
      </c>
      <c r="BW92" s="67" t="s">
        <v>161</v>
      </c>
      <c r="BX92" s="68"/>
      <c r="BY92" s="69"/>
      <c r="CA92" s="5" t="s">
        <v>392</v>
      </c>
      <c r="CB92">
        <v>23.942499999999999</v>
      </c>
      <c r="CC92" s="4" t="s">
        <v>159</v>
      </c>
    </row>
    <row r="93" spans="3:105" ht="15.75" thickBot="1" x14ac:dyDescent="0.3">
      <c r="C93" s="28" t="s">
        <v>157</v>
      </c>
      <c r="D93" s="31">
        <v>1.3</v>
      </c>
      <c r="E93" s="30" t="s">
        <v>22</v>
      </c>
      <c r="G93" s="5" t="s">
        <v>177</v>
      </c>
      <c r="H93">
        <v>4</v>
      </c>
      <c r="I93" s="4" t="s">
        <v>26</v>
      </c>
      <c r="K93" s="5" t="s">
        <v>202</v>
      </c>
      <c r="L93">
        <v>0.67</v>
      </c>
      <c r="M93" s="4" t="s">
        <v>22</v>
      </c>
      <c r="O93" s="5" t="s">
        <v>210</v>
      </c>
      <c r="P93" s="12">
        <v>2.7999999999999998E-9</v>
      </c>
      <c r="Q93" s="4" t="s">
        <v>86</v>
      </c>
      <c r="AA93" s="22" t="s">
        <v>248</v>
      </c>
      <c r="AB93" s="23">
        <v>1</v>
      </c>
      <c r="AC93" s="24" t="s">
        <v>22</v>
      </c>
      <c r="AM93" s="5" t="s">
        <v>264</v>
      </c>
      <c r="AN93">
        <v>1.4999999999999999E-4</v>
      </c>
      <c r="AO93" s="4" t="s">
        <v>22</v>
      </c>
      <c r="AQ93" s="5" t="s">
        <v>286</v>
      </c>
      <c r="AR93">
        <v>1.2999999999999999E-2</v>
      </c>
      <c r="AS93" s="4" t="s">
        <v>22</v>
      </c>
      <c r="AU93" s="5" t="s">
        <v>337</v>
      </c>
      <c r="AV93">
        <v>5.5E-2</v>
      </c>
      <c r="AW93" s="4" t="s">
        <v>22</v>
      </c>
      <c r="AY93" s="5" t="s">
        <v>333</v>
      </c>
      <c r="AZ93">
        <v>3.9999999999999998E-11</v>
      </c>
      <c r="BA93" s="4" t="s">
        <v>150</v>
      </c>
      <c r="BC93" s="5" t="s">
        <v>158</v>
      </c>
      <c r="BD93">
        <v>0.46</v>
      </c>
      <c r="BE93" s="4" t="s">
        <v>159</v>
      </c>
      <c r="BO93" s="67" t="s">
        <v>161</v>
      </c>
      <c r="BP93" s="68"/>
      <c r="BQ93" s="69"/>
      <c r="BS93" s="5" t="s">
        <v>388</v>
      </c>
      <c r="BT93">
        <v>0.89149999999999996</v>
      </c>
      <c r="BU93" s="4" t="s">
        <v>22</v>
      </c>
      <c r="BW93" s="22" t="s">
        <v>393</v>
      </c>
      <c r="BX93" s="23">
        <v>1</v>
      </c>
      <c r="BY93" s="24" t="s">
        <v>22</v>
      </c>
      <c r="CA93" s="67" t="s">
        <v>161</v>
      </c>
      <c r="CB93" s="68"/>
      <c r="CC93" s="69"/>
    </row>
    <row r="94" spans="3:105" ht="15.75" thickBot="1" x14ac:dyDescent="0.3">
      <c r="C94" s="28" t="s">
        <v>158</v>
      </c>
      <c r="D94" s="31">
        <v>5.22</v>
      </c>
      <c r="E94" s="30" t="s">
        <v>159</v>
      </c>
      <c r="G94" s="5" t="s">
        <v>178</v>
      </c>
      <c r="H94">
        <v>2.2000000000000001E-4</v>
      </c>
      <c r="I94" s="4" t="s">
        <v>22</v>
      </c>
      <c r="K94" s="6" t="s">
        <v>191</v>
      </c>
      <c r="L94" s="7">
        <v>0.66</v>
      </c>
      <c r="M94" s="8" t="s">
        <v>22</v>
      </c>
      <c r="O94" s="5" t="s">
        <v>211</v>
      </c>
      <c r="P94" s="12">
        <v>4.3000000000000002E-5</v>
      </c>
      <c r="Q94" s="4" t="s">
        <v>68</v>
      </c>
      <c r="AM94" s="5" t="s">
        <v>265</v>
      </c>
      <c r="AN94">
        <v>5.5999999999999999E-8</v>
      </c>
      <c r="AO94" s="4" t="s">
        <v>252</v>
      </c>
      <c r="AQ94" s="5" t="s">
        <v>151</v>
      </c>
      <c r="AR94">
        <v>6.5500000000000003E-2</v>
      </c>
      <c r="AS94" s="4" t="s">
        <v>26</v>
      </c>
      <c r="AU94" s="5" t="s">
        <v>338</v>
      </c>
      <c r="AV94">
        <v>1.35E-2</v>
      </c>
      <c r="AW94" s="4" t="s">
        <v>22</v>
      </c>
      <c r="AY94" s="5" t="s">
        <v>351</v>
      </c>
      <c r="AZ94">
        <v>3.4599999999999999E-2</v>
      </c>
      <c r="BA94" s="4" t="s">
        <v>174</v>
      </c>
      <c r="BC94" s="5" t="s">
        <v>375</v>
      </c>
      <c r="BD94">
        <v>7.7100000000000002E-2</v>
      </c>
      <c r="BE94" s="4" t="s">
        <v>159</v>
      </c>
      <c r="BO94" s="22" t="s">
        <v>385</v>
      </c>
      <c r="BP94" s="23">
        <v>1.35</v>
      </c>
      <c r="BQ94" s="24" t="s">
        <v>22</v>
      </c>
      <c r="BS94" s="67" t="s">
        <v>161</v>
      </c>
      <c r="BT94" s="68"/>
      <c r="BU94" s="69"/>
      <c r="CA94" s="22" t="s">
        <v>399</v>
      </c>
      <c r="CB94" s="23">
        <v>1</v>
      </c>
      <c r="CC94" s="24" t="s">
        <v>22</v>
      </c>
    </row>
    <row r="95" spans="3:105" x14ac:dyDescent="0.25">
      <c r="C95" s="28" t="s">
        <v>160</v>
      </c>
      <c r="D95" s="31">
        <v>0.87</v>
      </c>
      <c r="E95" s="30" t="s">
        <v>159</v>
      </c>
      <c r="G95" s="5" t="s">
        <v>179</v>
      </c>
      <c r="H95">
        <v>0.1</v>
      </c>
      <c r="I95" s="4" t="s">
        <v>22</v>
      </c>
      <c r="O95" s="5" t="s">
        <v>212</v>
      </c>
      <c r="P95">
        <v>0.14000000000000001</v>
      </c>
      <c r="Q95" s="4" t="s">
        <v>22</v>
      </c>
      <c r="AM95" s="5" t="s">
        <v>266</v>
      </c>
      <c r="AN95">
        <v>2.3800000000000002E-2</v>
      </c>
      <c r="AO95" s="4" t="s">
        <v>26</v>
      </c>
      <c r="AQ95" s="5" t="s">
        <v>176</v>
      </c>
      <c r="AR95">
        <v>2.3300000000000001E-2</v>
      </c>
      <c r="AS95" s="4" t="s">
        <v>26</v>
      </c>
      <c r="AU95" s="5" t="s">
        <v>339</v>
      </c>
      <c r="AV95">
        <v>5.2163729999999998E-3</v>
      </c>
      <c r="AW95" s="4" t="s">
        <v>68</v>
      </c>
      <c r="AY95" s="5" t="s">
        <v>267</v>
      </c>
      <c r="AZ95">
        <v>0.54</v>
      </c>
      <c r="BA95" s="4" t="s">
        <v>174</v>
      </c>
      <c r="BC95" s="5" t="s">
        <v>186</v>
      </c>
      <c r="BD95">
        <v>3.16</v>
      </c>
      <c r="BE95" s="4" t="s">
        <v>22</v>
      </c>
      <c r="BS95" s="25" t="s">
        <v>389</v>
      </c>
      <c r="BT95" s="26">
        <v>1</v>
      </c>
      <c r="BU95" s="27" t="s">
        <v>22</v>
      </c>
    </row>
    <row r="96" spans="3:105" x14ac:dyDescent="0.25">
      <c r="C96" s="92" t="s">
        <v>161</v>
      </c>
      <c r="D96" s="93"/>
      <c r="E96" s="94"/>
      <c r="G96" s="5" t="s">
        <v>180</v>
      </c>
      <c r="H96">
        <v>2.7999999999999998E-9</v>
      </c>
      <c r="I96" s="4" t="s">
        <v>150</v>
      </c>
      <c r="O96" s="5" t="s">
        <v>213</v>
      </c>
      <c r="P96">
        <v>1.9599999999999999E-3</v>
      </c>
      <c r="Q96" s="4" t="s">
        <v>22</v>
      </c>
      <c r="AM96" s="5" t="s">
        <v>267</v>
      </c>
      <c r="AN96">
        <v>1.44E-2</v>
      </c>
      <c r="AO96" s="4" t="s">
        <v>174</v>
      </c>
      <c r="AQ96" s="5" t="s">
        <v>287</v>
      </c>
      <c r="AR96">
        <v>5.7010800000000005E-4</v>
      </c>
      <c r="AS96" s="4" t="s">
        <v>22</v>
      </c>
      <c r="AU96" s="67" t="s">
        <v>161</v>
      </c>
      <c r="AV96" s="68"/>
      <c r="AW96" s="69"/>
      <c r="AY96" s="5" t="s">
        <v>352</v>
      </c>
      <c r="AZ96">
        <v>3.2999999999999998E-8</v>
      </c>
      <c r="BA96" s="4" t="s">
        <v>22</v>
      </c>
      <c r="BC96" s="67" t="s">
        <v>161</v>
      </c>
      <c r="BD96" s="68"/>
      <c r="BE96" s="69"/>
      <c r="BS96" s="5" t="s">
        <v>191</v>
      </c>
      <c r="BT96">
        <v>8.8569999999999996E-2</v>
      </c>
      <c r="BU96" s="4" t="s">
        <v>22</v>
      </c>
    </row>
    <row r="97" spans="3:73" x14ac:dyDescent="0.25">
      <c r="C97" s="32" t="s">
        <v>162</v>
      </c>
      <c r="D97" s="33">
        <v>1</v>
      </c>
      <c r="E97" s="34" t="s">
        <v>22</v>
      </c>
      <c r="G97" s="5" t="s">
        <v>181</v>
      </c>
      <c r="H97">
        <v>4.3000000000000002E-5</v>
      </c>
      <c r="I97" s="4" t="s">
        <v>68</v>
      </c>
      <c r="O97" s="5" t="s">
        <v>214</v>
      </c>
      <c r="P97">
        <v>0.12</v>
      </c>
      <c r="Q97" s="4" t="s">
        <v>22</v>
      </c>
      <c r="AM97" s="5" t="s">
        <v>268</v>
      </c>
      <c r="AN97">
        <v>1.54E-2</v>
      </c>
      <c r="AO97" s="4" t="s">
        <v>26</v>
      </c>
      <c r="AQ97" s="5" t="s">
        <v>288</v>
      </c>
      <c r="AR97">
        <v>4.6015099999999998E-7</v>
      </c>
      <c r="AS97" s="4" t="s">
        <v>22</v>
      </c>
      <c r="AU97" s="25" t="s">
        <v>340</v>
      </c>
      <c r="AV97" s="26">
        <v>1.32</v>
      </c>
      <c r="AW97" s="27" t="s">
        <v>22</v>
      </c>
      <c r="AY97" s="5" t="s">
        <v>353</v>
      </c>
      <c r="AZ97">
        <v>1.1E-4</v>
      </c>
      <c r="BA97" s="4" t="s">
        <v>22</v>
      </c>
      <c r="BC97" s="25" t="s">
        <v>376</v>
      </c>
      <c r="BD97" s="26">
        <v>1</v>
      </c>
      <c r="BE97" s="27" t="s">
        <v>22</v>
      </c>
      <c r="BS97" s="5" t="s">
        <v>278</v>
      </c>
      <c r="BT97">
        <v>1.3600000000000001E-3</v>
      </c>
      <c r="BU97" s="4" t="s">
        <v>68</v>
      </c>
    </row>
    <row r="98" spans="3:73" x14ac:dyDescent="0.25">
      <c r="C98" s="28" t="s">
        <v>163</v>
      </c>
      <c r="D98" s="31">
        <v>8.48E-2</v>
      </c>
      <c r="E98" s="30" t="s">
        <v>22</v>
      </c>
      <c r="G98" s="5" t="s">
        <v>182</v>
      </c>
      <c r="H98">
        <v>2.2400000000000002</v>
      </c>
      <c r="I98" s="4" t="s">
        <v>22</v>
      </c>
      <c r="O98" s="5" t="s">
        <v>215</v>
      </c>
      <c r="P98">
        <v>0.21</v>
      </c>
      <c r="Q98" s="4" t="s">
        <v>216</v>
      </c>
      <c r="AM98" s="5" t="s">
        <v>269</v>
      </c>
      <c r="AN98">
        <v>1.2E-5</v>
      </c>
      <c r="AO98" s="4" t="s">
        <v>22</v>
      </c>
      <c r="AQ98" s="5" t="s">
        <v>154</v>
      </c>
      <c r="AR98">
        <v>3.2924699999999998E-6</v>
      </c>
      <c r="AS98" s="4" t="s">
        <v>22</v>
      </c>
      <c r="AU98" s="5" t="s">
        <v>341</v>
      </c>
      <c r="AV98">
        <v>2.305E-6</v>
      </c>
      <c r="AW98" s="4" t="s">
        <v>22</v>
      </c>
      <c r="AY98" s="5" t="s">
        <v>354</v>
      </c>
      <c r="AZ98">
        <v>4.5000000000000003E-5</v>
      </c>
      <c r="BA98" s="4" t="s">
        <v>22</v>
      </c>
      <c r="BC98" s="5" t="s">
        <v>377</v>
      </c>
      <c r="BD98">
        <v>1</v>
      </c>
      <c r="BE98" s="4" t="s">
        <v>22</v>
      </c>
      <c r="BS98" s="5" t="s">
        <v>390</v>
      </c>
      <c r="BT98">
        <v>5.5000000000000003E-4</v>
      </c>
      <c r="BU98" s="4" t="s">
        <v>22</v>
      </c>
    </row>
    <row r="99" spans="3:73" ht="15.75" thickBot="1" x14ac:dyDescent="0.3">
      <c r="C99" s="28" t="s">
        <v>164</v>
      </c>
      <c r="D99" s="31">
        <v>8.7999999999999995E-2</v>
      </c>
      <c r="E99" s="30" t="s">
        <v>22</v>
      </c>
      <c r="G99" s="5" t="s">
        <v>183</v>
      </c>
      <c r="H99">
        <v>1.9599999999999999E-3</v>
      </c>
      <c r="I99" s="4" t="s">
        <v>22</v>
      </c>
      <c r="O99" s="5" t="s">
        <v>217</v>
      </c>
      <c r="P99">
        <v>0.1</v>
      </c>
      <c r="Q99" s="4" t="s">
        <v>216</v>
      </c>
      <c r="AM99" s="5" t="s">
        <v>270</v>
      </c>
      <c r="AN99">
        <v>3.1000000000000003E-11</v>
      </c>
      <c r="AO99" s="4" t="s">
        <v>150</v>
      </c>
      <c r="AQ99" s="5" t="s">
        <v>289</v>
      </c>
      <c r="AR99">
        <v>3.9974999999999999E-9</v>
      </c>
      <c r="AS99" s="4" t="s">
        <v>22</v>
      </c>
      <c r="AU99" s="5" t="s">
        <v>293</v>
      </c>
      <c r="AV99">
        <v>3.6500000000000003E-8</v>
      </c>
      <c r="AW99" s="4" t="s">
        <v>22</v>
      </c>
      <c r="AY99" s="5" t="s">
        <v>355</v>
      </c>
      <c r="AZ99">
        <v>3.7000000000000002E-3</v>
      </c>
      <c r="BA99" s="4" t="s">
        <v>22</v>
      </c>
      <c r="BC99" s="5" t="s">
        <v>164</v>
      </c>
      <c r="BD99">
        <v>0.16</v>
      </c>
      <c r="BE99" s="4" t="s">
        <v>22</v>
      </c>
      <c r="BS99" s="6" t="s">
        <v>391</v>
      </c>
      <c r="BT99" s="7">
        <v>5.8E-4</v>
      </c>
      <c r="BU99" s="8" t="s">
        <v>22</v>
      </c>
    </row>
    <row r="100" spans="3:73" x14ac:dyDescent="0.25">
      <c r="C100" s="28" t="s">
        <v>165</v>
      </c>
      <c r="D100" s="31">
        <v>2.36</v>
      </c>
      <c r="E100" s="30" t="s">
        <v>22</v>
      </c>
      <c r="G100" s="5" t="s">
        <v>184</v>
      </c>
      <c r="H100">
        <v>0.12</v>
      </c>
      <c r="I100" s="4" t="s">
        <v>22</v>
      </c>
      <c r="O100" s="5" t="s">
        <v>218</v>
      </c>
      <c r="P100">
        <v>8.7400000000000005E-2</v>
      </c>
      <c r="Q100" s="4" t="s">
        <v>22</v>
      </c>
      <c r="AM100" s="5" t="s">
        <v>271</v>
      </c>
      <c r="AN100">
        <v>6.2700000000000006E-2</v>
      </c>
      <c r="AO100" s="4" t="s">
        <v>22</v>
      </c>
      <c r="AQ100" s="5" t="s">
        <v>290</v>
      </c>
      <c r="AR100">
        <v>3.3821600000000002E-5</v>
      </c>
      <c r="AS100" s="4" t="s">
        <v>22</v>
      </c>
      <c r="AU100" s="5" t="s">
        <v>295</v>
      </c>
      <c r="AV100">
        <v>2.32E-3</v>
      </c>
      <c r="AW100" s="4" t="s">
        <v>22</v>
      </c>
      <c r="AY100" s="5" t="s">
        <v>286</v>
      </c>
      <c r="AZ100">
        <v>1.4E-2</v>
      </c>
      <c r="BA100" s="4" t="s">
        <v>22</v>
      </c>
      <c r="BC100" s="5" t="s">
        <v>378</v>
      </c>
      <c r="BD100">
        <v>5.6399999999999999E-2</v>
      </c>
      <c r="BE100" s="4" t="s">
        <v>22</v>
      </c>
    </row>
    <row r="101" spans="3:73" x14ac:dyDescent="0.25">
      <c r="C101" s="28" t="s">
        <v>166</v>
      </c>
      <c r="D101" s="31">
        <v>1.87</v>
      </c>
      <c r="E101" s="30" t="s">
        <v>22</v>
      </c>
      <c r="G101" s="5" t="s">
        <v>185</v>
      </c>
      <c r="H101">
        <v>3.7449999999999997E-2</v>
      </c>
      <c r="I101" s="4" t="s">
        <v>22</v>
      </c>
      <c r="O101" s="67" t="s">
        <v>161</v>
      </c>
      <c r="P101" s="68"/>
      <c r="Q101" s="69"/>
      <c r="AM101" s="5" t="s">
        <v>272</v>
      </c>
      <c r="AN101">
        <v>8.2999999999999998E-5</v>
      </c>
      <c r="AO101" s="4" t="s">
        <v>27</v>
      </c>
      <c r="AQ101" s="5" t="s">
        <v>291</v>
      </c>
      <c r="AR101">
        <v>2.1600000000000001E-2</v>
      </c>
      <c r="AS101" s="4" t="s">
        <v>22</v>
      </c>
      <c r="AU101" s="5" t="s">
        <v>296</v>
      </c>
      <c r="AV101">
        <v>1.254E-6</v>
      </c>
      <c r="AW101" s="4" t="s">
        <v>22</v>
      </c>
      <c r="AY101" s="5" t="s">
        <v>151</v>
      </c>
      <c r="AZ101">
        <v>1.23</v>
      </c>
      <c r="BA101" s="4" t="s">
        <v>26</v>
      </c>
      <c r="BC101" s="5" t="s">
        <v>312</v>
      </c>
      <c r="BD101">
        <v>0.23</v>
      </c>
      <c r="BE101" s="4" t="s">
        <v>22</v>
      </c>
    </row>
    <row r="102" spans="3:73" x14ac:dyDescent="0.25">
      <c r="C102" s="28" t="s">
        <v>167</v>
      </c>
      <c r="D102" s="31">
        <v>0.38</v>
      </c>
      <c r="E102" s="30" t="s">
        <v>22</v>
      </c>
      <c r="G102" s="5" t="s">
        <v>158</v>
      </c>
      <c r="H102">
        <v>1.97</v>
      </c>
      <c r="I102" s="4" t="s">
        <v>159</v>
      </c>
      <c r="O102" s="25" t="s">
        <v>220</v>
      </c>
      <c r="P102" s="26">
        <v>1</v>
      </c>
      <c r="Q102" s="27" t="s">
        <v>22</v>
      </c>
      <c r="AM102" s="67" t="s">
        <v>161</v>
      </c>
      <c r="AN102" s="68"/>
      <c r="AO102" s="69"/>
      <c r="AQ102" s="67" t="s">
        <v>161</v>
      </c>
      <c r="AR102" s="68"/>
      <c r="AS102" s="69"/>
      <c r="AU102" s="5" t="s">
        <v>297</v>
      </c>
      <c r="AV102">
        <v>2.3050000000000001E-7</v>
      </c>
      <c r="AW102" s="4" t="s">
        <v>22</v>
      </c>
      <c r="AY102" s="5" t="s">
        <v>356</v>
      </c>
      <c r="AZ102">
        <v>1.4E-5</v>
      </c>
      <c r="BA102" s="4" t="s">
        <v>22</v>
      </c>
      <c r="BC102" s="5" t="s">
        <v>191</v>
      </c>
      <c r="BD102">
        <v>8.4500000000000006E-2</v>
      </c>
      <c r="BE102" s="4" t="s">
        <v>22</v>
      </c>
    </row>
    <row r="103" spans="3:73" ht="15.75" thickBot="1" x14ac:dyDescent="0.3">
      <c r="C103" s="28" t="s">
        <v>168</v>
      </c>
      <c r="D103" s="31">
        <v>2.81</v>
      </c>
      <c r="E103" s="30" t="s">
        <v>22</v>
      </c>
      <c r="G103" s="5" t="s">
        <v>160</v>
      </c>
      <c r="H103">
        <v>0.33</v>
      </c>
      <c r="I103" s="4" t="s">
        <v>159</v>
      </c>
      <c r="O103" s="6" t="s">
        <v>219</v>
      </c>
      <c r="P103" s="7">
        <v>2.5000000000000001E-2</v>
      </c>
      <c r="Q103" s="8" t="s">
        <v>22</v>
      </c>
      <c r="AM103" s="25" t="s">
        <v>280</v>
      </c>
      <c r="AN103" s="26">
        <v>1.53</v>
      </c>
      <c r="AO103" s="27" t="s">
        <v>22</v>
      </c>
      <c r="AQ103" s="25" t="s">
        <v>292</v>
      </c>
      <c r="AR103" s="26">
        <v>1.46</v>
      </c>
      <c r="AS103" s="27" t="s">
        <v>22</v>
      </c>
      <c r="AU103" s="5" t="s">
        <v>299</v>
      </c>
      <c r="AV103">
        <v>4.5350000000000004E-12</v>
      </c>
      <c r="AW103" s="4" t="s">
        <v>22</v>
      </c>
      <c r="AY103" s="5" t="s">
        <v>334</v>
      </c>
      <c r="AZ103">
        <v>2.5000000000000001E-2</v>
      </c>
      <c r="BA103" s="4" t="s">
        <v>68</v>
      </c>
      <c r="BC103" s="5" t="s">
        <v>367</v>
      </c>
      <c r="BD103">
        <v>6.5000000000000002E-2</v>
      </c>
      <c r="BE103" s="4" t="s">
        <v>22</v>
      </c>
    </row>
    <row r="104" spans="3:73" ht="15.75" thickBot="1" x14ac:dyDescent="0.3">
      <c r="C104" s="35" t="s">
        <v>169</v>
      </c>
      <c r="D104" s="21">
        <v>0.11</v>
      </c>
      <c r="E104" s="36" t="s">
        <v>22</v>
      </c>
      <c r="G104" s="5" t="s">
        <v>186</v>
      </c>
      <c r="H104">
        <v>4.25</v>
      </c>
      <c r="I104" s="4" t="s">
        <v>22</v>
      </c>
      <c r="AM104" s="5" t="s">
        <v>273</v>
      </c>
      <c r="AN104">
        <v>0.46</v>
      </c>
      <c r="AO104" s="4" t="s">
        <v>22</v>
      </c>
      <c r="AQ104" s="5" t="s">
        <v>293</v>
      </c>
      <c r="AR104">
        <v>2.1E-10</v>
      </c>
      <c r="AS104" s="4" t="s">
        <v>22</v>
      </c>
      <c r="AU104" s="5" t="s">
        <v>342</v>
      </c>
      <c r="AV104">
        <v>7.7008000000000005E-5</v>
      </c>
      <c r="AW104" s="4" t="s">
        <v>22</v>
      </c>
      <c r="AY104" s="5" t="s">
        <v>357</v>
      </c>
      <c r="AZ104">
        <v>3.3000000000000003E-5</v>
      </c>
      <c r="BA104" s="4" t="s">
        <v>22</v>
      </c>
      <c r="BC104" s="5" t="s">
        <v>369</v>
      </c>
      <c r="BD104">
        <v>6.3200000000000006E-2</v>
      </c>
      <c r="BE104" s="4" t="s">
        <v>22</v>
      </c>
    </row>
    <row r="105" spans="3:73" ht="15.75" thickBot="1" x14ac:dyDescent="0.3">
      <c r="G105" s="5" t="s">
        <v>187</v>
      </c>
      <c r="H105">
        <v>0.12</v>
      </c>
      <c r="I105" s="4" t="s">
        <v>68</v>
      </c>
      <c r="AM105" s="5" t="s">
        <v>274</v>
      </c>
      <c r="AN105">
        <v>1.8E-5</v>
      </c>
      <c r="AO105" s="4" t="s">
        <v>22</v>
      </c>
      <c r="AQ105" s="5" t="s">
        <v>294</v>
      </c>
      <c r="AR105">
        <v>2.4459999999999999E-2</v>
      </c>
      <c r="AS105" s="4" t="s">
        <v>22</v>
      </c>
      <c r="AU105" s="5" t="s">
        <v>301</v>
      </c>
      <c r="AV105">
        <v>5.2000000000000002E-6</v>
      </c>
      <c r="AW105" s="4" t="s">
        <v>22</v>
      </c>
      <c r="AY105" s="5" t="s">
        <v>335</v>
      </c>
      <c r="AZ105">
        <v>5.0729999999999997E-2</v>
      </c>
      <c r="BA105" s="4" t="s">
        <v>22</v>
      </c>
      <c r="BC105" s="6" t="s">
        <v>379</v>
      </c>
      <c r="BD105" s="7">
        <v>0.47</v>
      </c>
      <c r="BE105" s="8" t="s">
        <v>22</v>
      </c>
    </row>
    <row r="106" spans="3:73" x14ac:dyDescent="0.25">
      <c r="G106" s="67" t="s">
        <v>161</v>
      </c>
      <c r="H106" s="68"/>
      <c r="I106" s="69"/>
      <c r="AM106" s="5" t="s">
        <v>275</v>
      </c>
      <c r="AN106">
        <v>2.4000000000000001E-4</v>
      </c>
      <c r="AO106" s="4" t="s">
        <v>22</v>
      </c>
      <c r="AQ106" s="5" t="s">
        <v>295</v>
      </c>
      <c r="AR106">
        <v>2.1002099999999999E-4</v>
      </c>
      <c r="AS106" s="4" t="s">
        <v>22</v>
      </c>
      <c r="AU106" s="5" t="s">
        <v>302</v>
      </c>
      <c r="AV106">
        <v>2.3499999999999999E-6</v>
      </c>
      <c r="AW106" s="4" t="s">
        <v>22</v>
      </c>
      <c r="AY106" s="5" t="s">
        <v>358</v>
      </c>
      <c r="AZ106">
        <v>2.7299999999999998E-3</v>
      </c>
      <c r="BA106" s="4" t="s">
        <v>26</v>
      </c>
    </row>
    <row r="107" spans="3:73" x14ac:dyDescent="0.25">
      <c r="G107" s="25" t="s">
        <v>188</v>
      </c>
      <c r="H107" s="26">
        <v>2</v>
      </c>
      <c r="I107" s="27" t="s">
        <v>22</v>
      </c>
      <c r="AM107" s="5" t="s">
        <v>276</v>
      </c>
      <c r="AN107">
        <v>9.6000000000000002E-5</v>
      </c>
      <c r="AO107" s="4" t="s">
        <v>22</v>
      </c>
      <c r="AQ107" s="5" t="s">
        <v>296</v>
      </c>
      <c r="AR107">
        <v>2.7000000000000002E-9</v>
      </c>
      <c r="AS107" s="4" t="s">
        <v>22</v>
      </c>
      <c r="AU107" s="5" t="s">
        <v>303</v>
      </c>
      <c r="AV107">
        <v>1.8080000000000001E-6</v>
      </c>
      <c r="AW107" s="4" t="s">
        <v>22</v>
      </c>
      <c r="AY107" s="5" t="s">
        <v>337</v>
      </c>
      <c r="AZ107">
        <v>5.5E-2</v>
      </c>
      <c r="BA107" s="4" t="s">
        <v>22</v>
      </c>
    </row>
    <row r="108" spans="3:73" x14ac:dyDescent="0.25">
      <c r="G108" s="5" t="s">
        <v>189</v>
      </c>
      <c r="H108">
        <v>6.4200000000000004E-3</v>
      </c>
      <c r="I108" s="4" t="s">
        <v>22</v>
      </c>
      <c r="AM108" s="5" t="s">
        <v>277</v>
      </c>
      <c r="AN108">
        <v>8.7899999999999992E-3</v>
      </c>
      <c r="AO108" s="4" t="s">
        <v>68</v>
      </c>
      <c r="AQ108" s="5" t="s">
        <v>297</v>
      </c>
      <c r="AR108">
        <v>4.5999999999999998E-9</v>
      </c>
      <c r="AS108" s="4" t="s">
        <v>22</v>
      </c>
      <c r="AU108" s="5" t="s">
        <v>305</v>
      </c>
      <c r="AV108">
        <v>2.238E-6</v>
      </c>
      <c r="AW108" s="4" t="s">
        <v>22</v>
      </c>
      <c r="AY108" s="5" t="s">
        <v>338</v>
      </c>
      <c r="AZ108">
        <v>1.35E-2</v>
      </c>
      <c r="BA108" s="4" t="s">
        <v>22</v>
      </c>
    </row>
    <row r="109" spans="3:73" ht="15.75" thickBot="1" x14ac:dyDescent="0.3">
      <c r="G109" s="5" t="s">
        <v>164</v>
      </c>
      <c r="H109">
        <v>0.89</v>
      </c>
      <c r="I109" s="4" t="s">
        <v>22</v>
      </c>
      <c r="AM109" s="6" t="s">
        <v>278</v>
      </c>
      <c r="AN109" s="7">
        <v>5.0000000000000002E-5</v>
      </c>
      <c r="AO109" s="8" t="s">
        <v>68</v>
      </c>
      <c r="AQ109" s="5" t="s">
        <v>298</v>
      </c>
      <c r="AR109">
        <v>1.4976799999999999E-9</v>
      </c>
      <c r="AS109" s="4" t="s">
        <v>22</v>
      </c>
      <c r="AU109" s="5" t="s">
        <v>307</v>
      </c>
      <c r="AV109">
        <v>7.0050000000000001E-7</v>
      </c>
      <c r="AW109" s="4" t="s">
        <v>22</v>
      </c>
      <c r="AY109" s="67" t="s">
        <v>161</v>
      </c>
      <c r="AZ109" s="68"/>
      <c r="BA109" s="69"/>
    </row>
    <row r="110" spans="3:73" x14ac:dyDescent="0.25">
      <c r="G110" s="5" t="s">
        <v>190</v>
      </c>
      <c r="H110">
        <v>6.2000000000000003E-5</v>
      </c>
      <c r="I110" s="4" t="s">
        <v>22</v>
      </c>
      <c r="AQ110" s="5" t="s">
        <v>299</v>
      </c>
      <c r="AR110">
        <v>5.7000000000000003E-15</v>
      </c>
      <c r="AS110" s="4" t="s">
        <v>22</v>
      </c>
      <c r="AU110" s="5" t="s">
        <v>308</v>
      </c>
      <c r="AV110">
        <v>1.8000000000000001E-4</v>
      </c>
      <c r="AW110" s="4" t="s">
        <v>22</v>
      </c>
      <c r="AY110" s="5" t="s">
        <v>359</v>
      </c>
      <c r="AZ110">
        <v>1.2</v>
      </c>
      <c r="BA110" s="4" t="s">
        <v>22</v>
      </c>
    </row>
    <row r="111" spans="3:73" x14ac:dyDescent="0.25">
      <c r="G111" s="5" t="s">
        <v>191</v>
      </c>
      <c r="H111">
        <v>23.5</v>
      </c>
      <c r="I111" s="4" t="s">
        <v>22</v>
      </c>
      <c r="AQ111" s="5" t="s">
        <v>300</v>
      </c>
      <c r="AR111">
        <v>2.2500000000000001E-5</v>
      </c>
      <c r="AS111" s="4" t="s">
        <v>22</v>
      </c>
      <c r="AU111" s="5" t="s">
        <v>310</v>
      </c>
      <c r="AV111">
        <v>3.7249999999999999E-8</v>
      </c>
      <c r="AW111" s="4" t="s">
        <v>22</v>
      </c>
      <c r="AY111" s="25" t="s">
        <v>360</v>
      </c>
      <c r="AZ111" s="26">
        <v>6.13E-2</v>
      </c>
      <c r="BA111" s="27" t="s">
        <v>22</v>
      </c>
    </row>
    <row r="112" spans="3:73" x14ac:dyDescent="0.25">
      <c r="G112" s="5" t="s">
        <v>192</v>
      </c>
      <c r="H112">
        <v>2.5700000000000001E-2</v>
      </c>
      <c r="I112" s="4" t="s">
        <v>22</v>
      </c>
      <c r="AQ112" s="5" t="s">
        <v>301</v>
      </c>
      <c r="AR112">
        <v>2.5198000000000002E-5</v>
      </c>
      <c r="AS112" s="4" t="s">
        <v>22</v>
      </c>
      <c r="AU112" s="5" t="s">
        <v>274</v>
      </c>
      <c r="AV112">
        <v>1.6595999999999999E-4</v>
      </c>
      <c r="AW112" s="4" t="s">
        <v>22</v>
      </c>
      <c r="AY112" s="5" t="s">
        <v>361</v>
      </c>
      <c r="AZ112">
        <v>3.29E-3</v>
      </c>
      <c r="BA112" s="4" t="s">
        <v>22</v>
      </c>
    </row>
    <row r="113" spans="2:53" x14ac:dyDescent="0.25">
      <c r="G113" s="5" t="s">
        <v>193</v>
      </c>
      <c r="H113">
        <v>7.3300000000000004E-2</v>
      </c>
      <c r="I113" s="4" t="s">
        <v>22</v>
      </c>
      <c r="AQ113" s="5" t="s">
        <v>302</v>
      </c>
      <c r="AR113">
        <v>2.0363100000000002E-5</v>
      </c>
      <c r="AS113" s="4" t="s">
        <v>22</v>
      </c>
      <c r="AU113" s="5" t="s">
        <v>275</v>
      </c>
      <c r="AV113">
        <v>5.8575000000000001E-5</v>
      </c>
      <c r="AW113" s="4" t="s">
        <v>22</v>
      </c>
      <c r="AY113" s="5" t="s">
        <v>341</v>
      </c>
      <c r="AZ113">
        <v>2.3E-6</v>
      </c>
      <c r="BA113" s="4" t="s">
        <v>22</v>
      </c>
    </row>
    <row r="114" spans="2:53" x14ac:dyDescent="0.25">
      <c r="G114" s="5" t="s">
        <v>194</v>
      </c>
      <c r="H114">
        <v>7.3300000000000004E-2</v>
      </c>
      <c r="I114" s="4" t="s">
        <v>22</v>
      </c>
      <c r="AQ114" s="5" t="s">
        <v>303</v>
      </c>
      <c r="AR114">
        <v>6.6500000000000007E-8</v>
      </c>
      <c r="AS114" s="4" t="s">
        <v>22</v>
      </c>
      <c r="AU114" s="5" t="s">
        <v>276</v>
      </c>
      <c r="AV114">
        <v>1.6595999999999999E-4</v>
      </c>
      <c r="AW114" s="4" t="s">
        <v>22</v>
      </c>
      <c r="AY114" s="5" t="s">
        <v>362</v>
      </c>
      <c r="AZ114">
        <v>2E-8</v>
      </c>
      <c r="BA114" s="4" t="s">
        <v>22</v>
      </c>
    </row>
    <row r="115" spans="2:53" x14ac:dyDescent="0.25">
      <c r="G115" s="5" t="s">
        <v>195</v>
      </c>
      <c r="H115">
        <v>2.1999999999999999E-2</v>
      </c>
      <c r="I115" s="4" t="s">
        <v>22</v>
      </c>
      <c r="AQ115" s="5" t="s">
        <v>304</v>
      </c>
      <c r="AR115">
        <v>2.3000000000000001E-8</v>
      </c>
      <c r="AS115" s="4" t="s">
        <v>22</v>
      </c>
      <c r="AU115" s="5" t="s">
        <v>343</v>
      </c>
      <c r="AV115">
        <v>2.325E-8</v>
      </c>
      <c r="AW115" s="4" t="s">
        <v>22</v>
      </c>
      <c r="AY115" s="5" t="s">
        <v>293</v>
      </c>
      <c r="AZ115">
        <v>3.7E-8</v>
      </c>
      <c r="BA115" s="4" t="s">
        <v>22</v>
      </c>
    </row>
    <row r="116" spans="2:53" x14ac:dyDescent="0.25">
      <c r="G116" s="5" t="s">
        <v>196</v>
      </c>
      <c r="H116">
        <v>2.4799999999999999E-2</v>
      </c>
      <c r="I116" s="4" t="s">
        <v>22</v>
      </c>
      <c r="AQ116" s="5" t="s">
        <v>305</v>
      </c>
      <c r="AR116">
        <v>3.4882300000000002E-10</v>
      </c>
      <c r="AS116" s="4" t="s">
        <v>22</v>
      </c>
      <c r="AU116" s="5" t="s">
        <v>312</v>
      </c>
      <c r="AV116">
        <v>7.7000000000000001E-5</v>
      </c>
      <c r="AW116" s="4" t="s">
        <v>22</v>
      </c>
      <c r="AY116" s="5" t="s">
        <v>295</v>
      </c>
      <c r="AZ116">
        <v>2.32E-3</v>
      </c>
      <c r="BA116" s="4" t="s">
        <v>22</v>
      </c>
    </row>
    <row r="117" spans="2:53" x14ac:dyDescent="0.25">
      <c r="G117" s="5" t="s">
        <v>197</v>
      </c>
      <c r="H117">
        <v>6.9699999999999998E-2</v>
      </c>
      <c r="I117" s="4" t="s">
        <v>22</v>
      </c>
      <c r="AQ117" s="5" t="s">
        <v>306</v>
      </c>
      <c r="AR117">
        <v>6.0989899999999995E-11</v>
      </c>
      <c r="AS117" s="4" t="s">
        <v>22</v>
      </c>
      <c r="AU117" s="5" t="s">
        <v>191</v>
      </c>
      <c r="AV117">
        <v>2.021344E-3</v>
      </c>
      <c r="AW117" s="4" t="s">
        <v>68</v>
      </c>
      <c r="AY117" s="5" t="s">
        <v>296</v>
      </c>
      <c r="AZ117">
        <v>1.3E-6</v>
      </c>
      <c r="BA117" s="4" t="s">
        <v>22</v>
      </c>
    </row>
    <row r="118" spans="2:53" x14ac:dyDescent="0.25">
      <c r="G118" s="5" t="s">
        <v>198</v>
      </c>
      <c r="H118">
        <v>2.1999999999999999E-2</v>
      </c>
      <c r="I118" s="4" t="s">
        <v>22</v>
      </c>
      <c r="AQ118" s="5" t="s">
        <v>307</v>
      </c>
      <c r="AR118">
        <v>1.4999999999999999E-8</v>
      </c>
      <c r="AS118" s="4" t="s">
        <v>22</v>
      </c>
      <c r="AU118" s="5" t="s">
        <v>313</v>
      </c>
      <c r="AV118">
        <v>2.2940000000000001E-5</v>
      </c>
      <c r="AW118" s="4" t="s">
        <v>22</v>
      </c>
      <c r="AY118" s="5" t="s">
        <v>297</v>
      </c>
      <c r="AZ118">
        <v>2.2999999999999999E-7</v>
      </c>
      <c r="BA118" s="4" t="s">
        <v>22</v>
      </c>
    </row>
    <row r="119" spans="2:53" ht="15.75" thickBot="1" x14ac:dyDescent="0.3">
      <c r="G119" s="6" t="s">
        <v>199</v>
      </c>
      <c r="H119" s="7">
        <v>4.0500000000000001E-2</v>
      </c>
      <c r="I119" s="8" t="s">
        <v>68</v>
      </c>
      <c r="AQ119" s="5" t="s">
        <v>308</v>
      </c>
      <c r="AR119">
        <v>3.1519600000000001E-4</v>
      </c>
      <c r="AS119" s="4" t="s">
        <v>22</v>
      </c>
      <c r="AU119" s="5" t="s">
        <v>278</v>
      </c>
      <c r="AV119">
        <v>3.1950279999999999E-3</v>
      </c>
      <c r="AW119" s="4" t="s">
        <v>68</v>
      </c>
      <c r="AY119" s="5" t="s">
        <v>299</v>
      </c>
      <c r="AZ119">
        <v>4.4999999999999998E-12</v>
      </c>
      <c r="BA119" s="4" t="s">
        <v>22</v>
      </c>
    </row>
    <row r="120" spans="2:53" x14ac:dyDescent="0.25">
      <c r="AQ120" s="5" t="s">
        <v>309</v>
      </c>
      <c r="AR120">
        <v>4.1975400000000001E-11</v>
      </c>
      <c r="AS120" s="4" t="s">
        <v>22</v>
      </c>
      <c r="AU120" s="5" t="s">
        <v>344</v>
      </c>
      <c r="AV120">
        <v>9.5999999999999992E-3</v>
      </c>
      <c r="AW120" s="4" t="s">
        <v>22</v>
      </c>
      <c r="AY120" s="5" t="s">
        <v>342</v>
      </c>
      <c r="AZ120">
        <v>7.7000000000000001E-5</v>
      </c>
      <c r="BA120" s="4" t="s">
        <v>22</v>
      </c>
    </row>
    <row r="121" spans="2:53" x14ac:dyDescent="0.25">
      <c r="B121" t="s">
        <v>83</v>
      </c>
      <c r="C121" t="s">
        <v>674</v>
      </c>
      <c r="AQ121" s="5" t="s">
        <v>310</v>
      </c>
      <c r="AR121">
        <v>1.8999999999999999E-10</v>
      </c>
      <c r="AS121" s="4" t="s">
        <v>22</v>
      </c>
      <c r="AU121" s="5" t="s">
        <v>345</v>
      </c>
      <c r="AV121">
        <v>5.0000000000000001E-3</v>
      </c>
      <c r="AW121" s="4" t="s">
        <v>22</v>
      </c>
      <c r="AY121" s="5" t="s">
        <v>301</v>
      </c>
      <c r="AZ121">
        <v>5.2000000000000002E-6</v>
      </c>
      <c r="BA121" s="4" t="s">
        <v>22</v>
      </c>
    </row>
    <row r="122" spans="2:53" ht="15.75" thickBot="1" x14ac:dyDescent="0.3">
      <c r="AQ122" s="5" t="s">
        <v>274</v>
      </c>
      <c r="AR122">
        <v>7.5338899999999998E-5</v>
      </c>
      <c r="AS122" s="4" t="s">
        <v>22</v>
      </c>
      <c r="AU122" s="6" t="s">
        <v>346</v>
      </c>
      <c r="AV122" s="7">
        <v>9.2799999999999994E-2</v>
      </c>
      <c r="AW122" s="8" t="s">
        <v>22</v>
      </c>
      <c r="AY122" s="5" t="s">
        <v>302</v>
      </c>
      <c r="AZ122">
        <v>2.3999999999999999E-6</v>
      </c>
      <c r="BA122" s="4" t="s">
        <v>22</v>
      </c>
    </row>
    <row r="123" spans="2:53" x14ac:dyDescent="0.25">
      <c r="AQ123" s="5" t="s">
        <v>275</v>
      </c>
      <c r="AR123">
        <v>5.85763E-7</v>
      </c>
      <c r="AS123" s="4" t="s">
        <v>22</v>
      </c>
      <c r="AY123" s="5" t="s">
        <v>303</v>
      </c>
      <c r="AZ123">
        <v>1.7999999999999999E-6</v>
      </c>
      <c r="BA123" s="4" t="s">
        <v>22</v>
      </c>
    </row>
    <row r="124" spans="2:53" x14ac:dyDescent="0.25">
      <c r="AQ124" s="5" t="s">
        <v>276</v>
      </c>
      <c r="AR124">
        <v>4.01489E-7</v>
      </c>
      <c r="AS124" s="4" t="s">
        <v>22</v>
      </c>
      <c r="AY124" s="5" t="s">
        <v>305</v>
      </c>
      <c r="AZ124">
        <v>2.2000000000000001E-6</v>
      </c>
      <c r="BA124" s="4" t="s">
        <v>22</v>
      </c>
    </row>
    <row r="125" spans="2:53" x14ac:dyDescent="0.25">
      <c r="AQ125" s="5" t="s">
        <v>311</v>
      </c>
      <c r="AR125">
        <v>5.64238E-11</v>
      </c>
      <c r="AS125" s="4" t="s">
        <v>22</v>
      </c>
      <c r="AY125" s="5" t="s">
        <v>307</v>
      </c>
      <c r="AZ125">
        <v>6.9999999999999997E-7</v>
      </c>
      <c r="BA125" s="4" t="s">
        <v>22</v>
      </c>
    </row>
    <row r="126" spans="2:53" x14ac:dyDescent="0.25">
      <c r="AQ126" s="5" t="s">
        <v>312</v>
      </c>
      <c r="AR126">
        <v>1.3494000000000001E-4</v>
      </c>
      <c r="AS126" s="4" t="s">
        <v>22</v>
      </c>
      <c r="AY126" s="5" t="s">
        <v>308</v>
      </c>
      <c r="AZ126">
        <v>1.8000000000000001E-4</v>
      </c>
      <c r="BA126" s="4" t="s">
        <v>22</v>
      </c>
    </row>
    <row r="127" spans="2:53" x14ac:dyDescent="0.25">
      <c r="AQ127" s="5" t="s">
        <v>191</v>
      </c>
      <c r="AR127">
        <v>3.2499999999999999E-3</v>
      </c>
      <c r="AS127" s="4" t="s">
        <v>68</v>
      </c>
      <c r="AY127" s="5" t="s">
        <v>310</v>
      </c>
      <c r="AZ127">
        <v>3.7E-8</v>
      </c>
      <c r="BA127" s="4" t="s">
        <v>22</v>
      </c>
    </row>
    <row r="128" spans="2:53" x14ac:dyDescent="0.25">
      <c r="AQ128" s="5" t="s">
        <v>313</v>
      </c>
      <c r="AR128">
        <v>5.62E-8</v>
      </c>
      <c r="AS128" s="4" t="s">
        <v>22</v>
      </c>
      <c r="AY128" s="5" t="s">
        <v>274</v>
      </c>
      <c r="AZ128">
        <v>1.7000000000000001E-4</v>
      </c>
      <c r="BA128" s="4" t="s">
        <v>22</v>
      </c>
    </row>
    <row r="129" spans="43:53" x14ac:dyDescent="0.25">
      <c r="AQ129" s="5" t="s">
        <v>314</v>
      </c>
      <c r="AR129">
        <v>6.2033500000000002E-12</v>
      </c>
      <c r="AS129" s="4" t="s">
        <v>22</v>
      </c>
      <c r="AY129" s="5" t="s">
        <v>275</v>
      </c>
      <c r="AZ129">
        <v>5.8999999999999998E-5</v>
      </c>
      <c r="BA129" s="4" t="s">
        <v>22</v>
      </c>
    </row>
    <row r="130" spans="43:53" x14ac:dyDescent="0.25">
      <c r="AQ130" s="5" t="s">
        <v>315</v>
      </c>
      <c r="AR130">
        <v>3.1013499999999999E-12</v>
      </c>
      <c r="AS130" s="4" t="s">
        <v>22</v>
      </c>
      <c r="AY130" s="5" t="s">
        <v>276</v>
      </c>
      <c r="AZ130">
        <v>1.7000000000000001E-4</v>
      </c>
      <c r="BA130" s="4" t="s">
        <v>22</v>
      </c>
    </row>
    <row r="131" spans="43:53" x14ac:dyDescent="0.25">
      <c r="AQ131" s="5" t="s">
        <v>316</v>
      </c>
      <c r="AR131">
        <v>4.9607300000000002E-11</v>
      </c>
      <c r="AS131" s="4" t="s">
        <v>22</v>
      </c>
      <c r="AY131" s="5" t="s">
        <v>343</v>
      </c>
      <c r="AZ131">
        <v>2.3000000000000001E-8</v>
      </c>
      <c r="BA131" s="4" t="s">
        <v>22</v>
      </c>
    </row>
    <row r="132" spans="43:53" x14ac:dyDescent="0.25">
      <c r="AQ132" s="5" t="s">
        <v>317</v>
      </c>
      <c r="AR132">
        <v>6.2033500000000002E-12</v>
      </c>
      <c r="AS132" s="4" t="s">
        <v>22</v>
      </c>
      <c r="AY132" s="5" t="s">
        <v>312</v>
      </c>
      <c r="AZ132">
        <v>7.7000000000000001E-5</v>
      </c>
      <c r="BA132" s="4" t="s">
        <v>22</v>
      </c>
    </row>
    <row r="133" spans="43:53" x14ac:dyDescent="0.25">
      <c r="AQ133" s="5" t="s">
        <v>318</v>
      </c>
      <c r="AR133">
        <v>6.2033500000000002E-12</v>
      </c>
      <c r="AS133" s="4" t="s">
        <v>22</v>
      </c>
      <c r="AY133" s="5" t="s">
        <v>191</v>
      </c>
      <c r="AZ133">
        <v>2.9199999999999999E-3</v>
      </c>
      <c r="BA133" s="4" t="s">
        <v>68</v>
      </c>
    </row>
    <row r="134" spans="43:53" x14ac:dyDescent="0.25">
      <c r="AQ134" s="5" t="s">
        <v>319</v>
      </c>
      <c r="AR134">
        <v>1.1793500000000001E-8</v>
      </c>
      <c r="AS134" s="4" t="s">
        <v>22</v>
      </c>
      <c r="AY134" s="5" t="s">
        <v>313</v>
      </c>
      <c r="AZ134">
        <v>2.3E-5</v>
      </c>
      <c r="BA134" s="4" t="s">
        <v>22</v>
      </c>
    </row>
    <row r="135" spans="43:53" x14ac:dyDescent="0.25">
      <c r="AQ135" s="5" t="s">
        <v>320</v>
      </c>
      <c r="AR135">
        <v>6.2033500000000002E-12</v>
      </c>
      <c r="AS135" s="4" t="s">
        <v>22</v>
      </c>
      <c r="AY135" s="5" t="s">
        <v>363</v>
      </c>
      <c r="AZ135">
        <v>1.7999999999999999E-6</v>
      </c>
      <c r="BA135" s="4" t="s">
        <v>22</v>
      </c>
    </row>
    <row r="136" spans="43:53" x14ac:dyDescent="0.25">
      <c r="AQ136" s="5" t="s">
        <v>321</v>
      </c>
      <c r="AR136">
        <v>1.86068E-9</v>
      </c>
      <c r="AS136" s="4" t="s">
        <v>22</v>
      </c>
      <c r="AY136" s="5" t="s">
        <v>364</v>
      </c>
      <c r="AZ136">
        <v>1.9000000000000001E-9</v>
      </c>
      <c r="BA136" s="4" t="s">
        <v>22</v>
      </c>
    </row>
    <row r="137" spans="43:53" x14ac:dyDescent="0.25">
      <c r="AQ137" s="5" t="s">
        <v>322</v>
      </c>
      <c r="AR137">
        <v>8.0624000000000001E-13</v>
      </c>
      <c r="AS137" s="4" t="s">
        <v>22</v>
      </c>
      <c r="AY137" s="5" t="s">
        <v>278</v>
      </c>
      <c r="AZ137">
        <v>2.3E-3</v>
      </c>
      <c r="BA137" s="4" t="s">
        <v>68</v>
      </c>
    </row>
    <row r="138" spans="43:53" x14ac:dyDescent="0.25">
      <c r="AQ138" s="5" t="s">
        <v>323</v>
      </c>
      <c r="AR138">
        <v>6.2033500000000002E-12</v>
      </c>
      <c r="AS138" s="4" t="s">
        <v>22</v>
      </c>
      <c r="AY138" s="5" t="s">
        <v>365</v>
      </c>
      <c r="AZ138">
        <v>9.5999999999999992E-3</v>
      </c>
      <c r="BA138" s="4" t="s">
        <v>22</v>
      </c>
    </row>
    <row r="139" spans="43:53" x14ac:dyDescent="0.25">
      <c r="AQ139" s="5" t="s">
        <v>324</v>
      </c>
      <c r="AR139">
        <v>1.1412E-8</v>
      </c>
      <c r="AS139" s="4" t="s">
        <v>22</v>
      </c>
      <c r="AY139" s="5" t="s">
        <v>366</v>
      </c>
      <c r="AZ139">
        <v>5.0000000000000001E-3</v>
      </c>
      <c r="BA139" s="4" t="s">
        <v>22</v>
      </c>
    </row>
    <row r="140" spans="43:53" x14ac:dyDescent="0.25">
      <c r="AQ140" s="5" t="s">
        <v>325</v>
      </c>
      <c r="AR140">
        <v>7.4427199999999997E-10</v>
      </c>
      <c r="AS140" s="4" t="s">
        <v>22</v>
      </c>
      <c r="AY140" s="5" t="s">
        <v>367</v>
      </c>
      <c r="AZ140">
        <v>5.1999999999999997E-5</v>
      </c>
      <c r="BA140" s="4" t="s">
        <v>22</v>
      </c>
    </row>
    <row r="141" spans="43:53" x14ac:dyDescent="0.25">
      <c r="AQ141" s="5" t="s">
        <v>326</v>
      </c>
      <c r="AR141">
        <v>3.9724900000000001E-8</v>
      </c>
      <c r="AS141" s="4" t="s">
        <v>22</v>
      </c>
      <c r="AY141" s="5" t="s">
        <v>368</v>
      </c>
      <c r="AZ141">
        <v>4.9799999999999997E-2</v>
      </c>
      <c r="BA141" s="4" t="s">
        <v>22</v>
      </c>
    </row>
    <row r="142" spans="43:53" x14ac:dyDescent="0.25">
      <c r="AQ142" s="5" t="s">
        <v>278</v>
      </c>
      <c r="AR142">
        <v>1.8395600000000001E-5</v>
      </c>
      <c r="AS142" s="4" t="s">
        <v>68</v>
      </c>
      <c r="AY142" s="5" t="s">
        <v>369</v>
      </c>
      <c r="AZ142">
        <v>3.2999999999999998E-8</v>
      </c>
      <c r="BA142" s="4" t="s">
        <v>22</v>
      </c>
    </row>
    <row r="143" spans="43:53" ht="15.75" thickBot="1" x14ac:dyDescent="0.3">
      <c r="AQ143" s="5" t="s">
        <v>327</v>
      </c>
      <c r="AR143">
        <v>2.4810099999999999E-11</v>
      </c>
      <c r="AS143" s="4" t="s">
        <v>22</v>
      </c>
      <c r="AY143" s="6" t="s">
        <v>370</v>
      </c>
      <c r="AZ143" s="7">
        <v>9.2799999999999994E-2</v>
      </c>
      <c r="BA143" s="8" t="s">
        <v>22</v>
      </c>
    </row>
    <row r="144" spans="43:53" x14ac:dyDescent="0.25">
      <c r="AQ144" s="5" t="s">
        <v>328</v>
      </c>
      <c r="AR144">
        <v>4.1164800000000002E-9</v>
      </c>
      <c r="AS144" s="4" t="s">
        <v>22</v>
      </c>
    </row>
    <row r="145" spans="43:45" x14ac:dyDescent="0.25">
      <c r="AQ145" s="5" t="s">
        <v>329</v>
      </c>
      <c r="AR145">
        <v>3.2560700000000001E-6</v>
      </c>
      <c r="AS145" s="4" t="s">
        <v>22</v>
      </c>
    </row>
    <row r="146" spans="43:45" x14ac:dyDescent="0.25">
      <c r="AQ146" s="5" t="s">
        <v>330</v>
      </c>
      <c r="AR146">
        <v>1.23E-7</v>
      </c>
      <c r="AS146" s="4" t="s">
        <v>22</v>
      </c>
    </row>
    <row r="147" spans="43:45" ht="15.75" thickBot="1" x14ac:dyDescent="0.3">
      <c r="AQ147" s="6" t="s">
        <v>331</v>
      </c>
      <c r="AR147" s="7">
        <v>8.6599999999999995E-8</v>
      </c>
      <c r="AS147" s="8" t="s">
        <v>22</v>
      </c>
    </row>
  </sheetData>
  <mergeCells count="93">
    <mergeCell ref="B38:B41"/>
    <mergeCell ref="B42:B43"/>
    <mergeCell ref="B12:B26"/>
    <mergeCell ref="B27:B28"/>
    <mergeCell ref="C96:E96"/>
    <mergeCell ref="C83:E83"/>
    <mergeCell ref="C84:E84"/>
    <mergeCell ref="B59:C59"/>
    <mergeCell ref="B58:F58"/>
    <mergeCell ref="AI83:AK83"/>
    <mergeCell ref="AI84:AK84"/>
    <mergeCell ref="G106:I106"/>
    <mergeCell ref="K90:M90"/>
    <mergeCell ref="O101:Q101"/>
    <mergeCell ref="S91:U91"/>
    <mergeCell ref="W90:Y90"/>
    <mergeCell ref="W84:Y84"/>
    <mergeCell ref="G83:I83"/>
    <mergeCell ref="K83:M83"/>
    <mergeCell ref="O83:Q83"/>
    <mergeCell ref="S83:U83"/>
    <mergeCell ref="G84:I84"/>
    <mergeCell ref="K84:M84"/>
    <mergeCell ref="O84:Q84"/>
    <mergeCell ref="S84:U84"/>
    <mergeCell ref="W83:Y83"/>
    <mergeCell ref="AA83:AC83"/>
    <mergeCell ref="AA84:AC84"/>
    <mergeCell ref="AE83:AG83"/>
    <mergeCell ref="AE84:AG84"/>
    <mergeCell ref="AM83:AO83"/>
    <mergeCell ref="AM84:AO84"/>
    <mergeCell ref="AQ83:AS83"/>
    <mergeCell ref="AQ84:AS84"/>
    <mergeCell ref="AU83:AW83"/>
    <mergeCell ref="AU84:AW84"/>
    <mergeCell ref="AY83:BA83"/>
    <mergeCell ref="AY84:BA84"/>
    <mergeCell ref="BC83:BE83"/>
    <mergeCell ref="BC84:BE84"/>
    <mergeCell ref="BG83:BI83"/>
    <mergeCell ref="BG84:BI84"/>
    <mergeCell ref="BK83:BM83"/>
    <mergeCell ref="BK84:BM84"/>
    <mergeCell ref="BO83:BQ83"/>
    <mergeCell ref="BO84:BQ84"/>
    <mergeCell ref="BS83:BU83"/>
    <mergeCell ref="BS84:BU84"/>
    <mergeCell ref="CI83:CK83"/>
    <mergeCell ref="CI84:CK84"/>
    <mergeCell ref="BW83:BY83"/>
    <mergeCell ref="BW84:BY84"/>
    <mergeCell ref="CA83:CC83"/>
    <mergeCell ref="CA84:CC84"/>
    <mergeCell ref="CE83:CG83"/>
    <mergeCell ref="CE84:CG84"/>
    <mergeCell ref="AA92:AC92"/>
    <mergeCell ref="AE91:AG91"/>
    <mergeCell ref="AI90:AK90"/>
    <mergeCell ref="BG91:BI91"/>
    <mergeCell ref="BK90:BM90"/>
    <mergeCell ref="CI90:CK90"/>
    <mergeCell ref="AM102:AO102"/>
    <mergeCell ref="AQ102:AS102"/>
    <mergeCell ref="AU96:AW96"/>
    <mergeCell ref="AY109:BA109"/>
    <mergeCell ref="BC96:BE96"/>
    <mergeCell ref="BO93:BQ93"/>
    <mergeCell ref="BS94:BU94"/>
    <mergeCell ref="BW92:BY92"/>
    <mergeCell ref="CA93:CC93"/>
    <mergeCell ref="CE90:CG90"/>
    <mergeCell ref="I36:J36"/>
    <mergeCell ref="K36:L36"/>
    <mergeCell ref="I10:J10"/>
    <mergeCell ref="K10:L10"/>
    <mergeCell ref="B33:D33"/>
    <mergeCell ref="G33:I33"/>
    <mergeCell ref="B34:D34"/>
    <mergeCell ref="G34:I34"/>
    <mergeCell ref="B36:E36"/>
    <mergeCell ref="B10:E10"/>
    <mergeCell ref="B32:E32"/>
    <mergeCell ref="H9:L9"/>
    <mergeCell ref="H35:L35"/>
    <mergeCell ref="G6:L6"/>
    <mergeCell ref="G32:L32"/>
    <mergeCell ref="B2:C2"/>
    <mergeCell ref="B6:E6"/>
    <mergeCell ref="B7:D7"/>
    <mergeCell ref="G7:I7"/>
    <mergeCell ref="B8:D8"/>
    <mergeCell ref="G8:I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BC155-9779-4FC4-8302-ACB428CDBBF5}">
  <dimension ref="B2:O100"/>
  <sheetViews>
    <sheetView tabSelected="1" topLeftCell="A48" workbookViewId="0">
      <selection activeCell="J14" sqref="J14:J31"/>
    </sheetView>
  </sheetViews>
  <sheetFormatPr defaultRowHeight="15" x14ac:dyDescent="0.25"/>
  <cols>
    <col min="2" max="2" width="11.85546875" customWidth="1"/>
    <col min="3" max="3" width="16.140625" customWidth="1"/>
    <col min="5" max="5" width="10.5703125" customWidth="1"/>
    <col min="7" max="7" width="36.85546875" customWidth="1"/>
    <col min="8" max="8" width="12.42578125" customWidth="1"/>
    <col min="9" max="9" width="12.28515625" customWidth="1"/>
    <col min="10" max="10" width="37.5703125" customWidth="1"/>
  </cols>
  <sheetData>
    <row r="2" spans="2:15" x14ac:dyDescent="0.25">
      <c r="B2" s="82" t="s">
        <v>2</v>
      </c>
      <c r="C2" s="82"/>
      <c r="D2" s="82" t="s">
        <v>463</v>
      </c>
      <c r="E2" s="1" t="s">
        <v>460</v>
      </c>
    </row>
    <row r="3" spans="2:15" x14ac:dyDescent="0.25">
      <c r="B3" s="16"/>
      <c r="C3" s="16"/>
      <c r="D3" s="82"/>
      <c r="E3" s="1" t="s">
        <v>465</v>
      </c>
    </row>
    <row r="4" spans="2:15" x14ac:dyDescent="0.25">
      <c r="D4" s="82" t="s">
        <v>464</v>
      </c>
      <c r="E4" s="1" t="s">
        <v>460</v>
      </c>
    </row>
    <row r="5" spans="2:15" x14ac:dyDescent="0.25">
      <c r="D5" s="82"/>
      <c r="E5" s="1" t="s">
        <v>466</v>
      </c>
    </row>
    <row r="6" spans="2:15" x14ac:dyDescent="0.25">
      <c r="D6" t="s">
        <v>462</v>
      </c>
      <c r="E6" s="1" t="s">
        <v>461</v>
      </c>
    </row>
    <row r="7" spans="2:15" ht="15.75" thickBot="1" x14ac:dyDescent="0.3"/>
    <row r="8" spans="2:15" x14ac:dyDescent="0.25">
      <c r="B8" s="70" t="s">
        <v>0</v>
      </c>
      <c r="C8" s="71"/>
      <c r="D8" s="71"/>
      <c r="E8" s="72"/>
      <c r="G8" s="70" t="s">
        <v>15</v>
      </c>
      <c r="H8" s="71"/>
      <c r="I8" s="71"/>
      <c r="J8" s="72"/>
    </row>
    <row r="9" spans="2:15" x14ac:dyDescent="0.25">
      <c r="B9" s="61" t="s">
        <v>6</v>
      </c>
      <c r="C9" s="63"/>
      <c r="D9" s="63"/>
      <c r="E9" s="41" t="s">
        <v>477</v>
      </c>
      <c r="G9" s="61" t="s">
        <v>35</v>
      </c>
      <c r="H9" s="63"/>
      <c r="I9" s="63"/>
      <c r="J9" s="4">
        <v>1</v>
      </c>
    </row>
    <row r="10" spans="2:15" x14ac:dyDescent="0.25">
      <c r="B10" s="61" t="s">
        <v>5</v>
      </c>
      <c r="C10" s="63"/>
      <c r="D10" s="63"/>
      <c r="E10" s="4" t="s">
        <v>8</v>
      </c>
      <c r="G10" s="61" t="s">
        <v>5</v>
      </c>
      <c r="H10" s="63"/>
      <c r="I10" s="63"/>
      <c r="J10" s="4" t="s">
        <v>8</v>
      </c>
    </row>
    <row r="11" spans="2:15" x14ac:dyDescent="0.25">
      <c r="B11" s="19"/>
      <c r="C11" s="20"/>
      <c r="D11" s="20"/>
      <c r="E11" s="11"/>
      <c r="G11" s="61" t="s">
        <v>70</v>
      </c>
      <c r="H11" s="63"/>
      <c r="I11" s="63"/>
      <c r="J11" s="4" t="s">
        <v>85</v>
      </c>
    </row>
    <row r="12" spans="2:15" x14ac:dyDescent="0.25">
      <c r="B12" s="67" t="s">
        <v>7</v>
      </c>
      <c r="C12" s="68"/>
      <c r="D12" s="68"/>
      <c r="E12" s="69"/>
      <c r="G12" s="61" t="s">
        <v>18</v>
      </c>
      <c r="H12" s="63"/>
      <c r="I12" s="63"/>
      <c r="J12" s="4" t="s">
        <v>20</v>
      </c>
    </row>
    <row r="13" spans="2:15" x14ac:dyDescent="0.25">
      <c r="B13" s="5" t="s">
        <v>9</v>
      </c>
      <c r="C13" t="s">
        <v>10</v>
      </c>
      <c r="D13" t="s">
        <v>11</v>
      </c>
      <c r="E13" s="4" t="s">
        <v>12</v>
      </c>
      <c r="G13" s="9" t="s">
        <v>16</v>
      </c>
      <c r="H13" s="10" t="s">
        <v>12</v>
      </c>
      <c r="I13" s="10" t="s">
        <v>17</v>
      </c>
      <c r="J13" s="11" t="s">
        <v>36</v>
      </c>
    </row>
    <row r="14" spans="2:15" x14ac:dyDescent="0.25">
      <c r="B14" s="95" t="s">
        <v>476</v>
      </c>
      <c r="C14" t="s">
        <v>468</v>
      </c>
      <c r="D14" s="12">
        <v>2.7E-2</v>
      </c>
      <c r="E14" s="4" t="s">
        <v>22</v>
      </c>
      <c r="G14" s="5" t="s">
        <v>38</v>
      </c>
      <c r="H14" t="s">
        <v>39</v>
      </c>
      <c r="I14">
        <v>588.62266999999997</v>
      </c>
      <c r="J14" s="4">
        <f t="shared" ref="J14:J31" si="0">I14/$J$9</f>
        <v>588.62266999999997</v>
      </c>
      <c r="N14" s="12"/>
      <c r="O14" s="12"/>
    </row>
    <row r="15" spans="2:15" x14ac:dyDescent="0.25">
      <c r="B15" s="95"/>
      <c r="C15" t="s">
        <v>469</v>
      </c>
      <c r="D15">
        <v>8.9999999999999993E-3</v>
      </c>
      <c r="E15" s="4" t="s">
        <v>22</v>
      </c>
      <c r="G15" s="5" t="s">
        <v>40</v>
      </c>
      <c r="H15" t="s">
        <v>41</v>
      </c>
      <c r="I15">
        <v>2.4319754E-3</v>
      </c>
      <c r="J15" s="4">
        <f t="shared" si="0"/>
        <v>2.4319754E-3</v>
      </c>
      <c r="O15" s="12"/>
    </row>
    <row r="16" spans="2:15" x14ac:dyDescent="0.25">
      <c r="B16" s="95"/>
      <c r="C16" t="s">
        <v>470</v>
      </c>
      <c r="D16">
        <v>4.4999999999999997E-3</v>
      </c>
      <c r="E16" s="4" t="s">
        <v>22</v>
      </c>
      <c r="G16" s="5" t="s">
        <v>42</v>
      </c>
      <c r="H16" t="s">
        <v>43</v>
      </c>
      <c r="I16">
        <v>37.137954000000001</v>
      </c>
      <c r="J16" s="4">
        <f t="shared" si="0"/>
        <v>37.137954000000001</v>
      </c>
      <c r="O16" s="12"/>
    </row>
    <row r="17" spans="2:15" x14ac:dyDescent="0.25">
      <c r="B17" s="95"/>
      <c r="C17" t="s">
        <v>471</v>
      </c>
      <c r="D17" s="12">
        <v>7.4999999999999993E-5</v>
      </c>
      <c r="E17" s="4" t="s">
        <v>22</v>
      </c>
      <c r="G17" s="5" t="s">
        <v>44</v>
      </c>
      <c r="H17" t="s">
        <v>45</v>
      </c>
      <c r="I17">
        <v>4.6598357000000004</v>
      </c>
      <c r="J17" s="4">
        <f t="shared" si="0"/>
        <v>4.6598357000000004</v>
      </c>
      <c r="N17" s="12"/>
      <c r="O17" s="12"/>
    </row>
    <row r="18" spans="2:15" x14ac:dyDescent="0.25">
      <c r="B18" s="95"/>
      <c r="C18" t="s">
        <v>472</v>
      </c>
      <c r="D18" s="12">
        <v>0.1</v>
      </c>
      <c r="E18" s="4" t="s">
        <v>22</v>
      </c>
      <c r="G18" s="5" t="s">
        <v>46</v>
      </c>
      <c r="H18" t="s">
        <v>47</v>
      </c>
      <c r="I18">
        <v>8.6660287</v>
      </c>
      <c r="J18" s="4">
        <f t="shared" si="0"/>
        <v>8.6660287</v>
      </c>
      <c r="N18" s="12"/>
      <c r="O18" s="12"/>
    </row>
    <row r="19" spans="2:15" x14ac:dyDescent="0.25">
      <c r="B19" s="95"/>
      <c r="C19" t="s">
        <v>103</v>
      </c>
      <c r="D19">
        <v>2.8E-3</v>
      </c>
      <c r="E19" s="4" t="s">
        <v>22</v>
      </c>
      <c r="G19" s="5" t="s">
        <v>48</v>
      </c>
      <c r="H19" t="s">
        <v>45</v>
      </c>
      <c r="I19">
        <v>4.7879462999999998</v>
      </c>
      <c r="J19" s="4">
        <f t="shared" si="0"/>
        <v>4.7879462999999998</v>
      </c>
      <c r="O19" s="12"/>
    </row>
    <row r="20" spans="2:15" x14ac:dyDescent="0.25">
      <c r="B20" s="95"/>
      <c r="C20" t="s">
        <v>473</v>
      </c>
      <c r="D20" s="12">
        <v>1.32E-2</v>
      </c>
      <c r="E20" s="4" t="s">
        <v>22</v>
      </c>
      <c r="G20" s="5" t="s">
        <v>49</v>
      </c>
      <c r="H20" t="s">
        <v>50</v>
      </c>
      <c r="I20">
        <v>29.438742999999999</v>
      </c>
      <c r="J20" s="4">
        <f t="shared" si="0"/>
        <v>29.438742999999999</v>
      </c>
      <c r="N20" s="12"/>
      <c r="O20" s="12"/>
    </row>
    <row r="21" spans="2:15" x14ac:dyDescent="0.25">
      <c r="B21" s="95"/>
      <c r="C21" t="s">
        <v>474</v>
      </c>
      <c r="D21" s="12">
        <v>0.53800000000000003</v>
      </c>
      <c r="E21" s="4" t="s">
        <v>22</v>
      </c>
      <c r="G21" s="5" t="s">
        <v>51</v>
      </c>
      <c r="H21" t="s">
        <v>52</v>
      </c>
      <c r="I21">
        <v>0.68063196999999998</v>
      </c>
      <c r="J21" s="4">
        <f t="shared" si="0"/>
        <v>0.68063196999999998</v>
      </c>
      <c r="N21" s="12"/>
      <c r="O21" s="12"/>
    </row>
    <row r="22" spans="2:15" x14ac:dyDescent="0.25">
      <c r="B22" s="95"/>
      <c r="C22" t="s">
        <v>475</v>
      </c>
      <c r="D22" s="12">
        <v>7.5000000000000002E-4</v>
      </c>
      <c r="E22" s="4" t="s">
        <v>22</v>
      </c>
      <c r="G22" s="5" t="s">
        <v>53</v>
      </c>
      <c r="H22" t="s">
        <v>54</v>
      </c>
      <c r="I22">
        <v>2.7436621000000001E-2</v>
      </c>
      <c r="J22" s="4">
        <f t="shared" si="0"/>
        <v>2.7436621000000001E-2</v>
      </c>
      <c r="N22" s="12"/>
      <c r="O22" s="12"/>
    </row>
    <row r="23" spans="2:15" x14ac:dyDescent="0.25">
      <c r="B23" s="95" t="s">
        <v>482</v>
      </c>
      <c r="C23" t="s">
        <v>468</v>
      </c>
      <c r="D23" s="12">
        <v>0.1</v>
      </c>
      <c r="E23" s="4" t="s">
        <v>22</v>
      </c>
      <c r="G23" s="5" t="s">
        <v>55</v>
      </c>
      <c r="H23" t="s">
        <v>56</v>
      </c>
      <c r="I23">
        <v>2615.7737999999999</v>
      </c>
      <c r="J23" s="4">
        <f t="shared" si="0"/>
        <v>2615.7737999999999</v>
      </c>
    </row>
    <row r="24" spans="2:15" x14ac:dyDescent="0.25">
      <c r="B24" s="95"/>
      <c r="C24" t="s">
        <v>478</v>
      </c>
      <c r="D24" s="12">
        <v>0.2</v>
      </c>
      <c r="E24" s="4" t="s">
        <v>22</v>
      </c>
      <c r="G24" s="5" t="s">
        <v>57</v>
      </c>
      <c r="H24" t="s">
        <v>56</v>
      </c>
      <c r="I24">
        <v>233.58936</v>
      </c>
      <c r="J24" s="4">
        <f t="shared" si="0"/>
        <v>233.58936</v>
      </c>
      <c r="N24" s="12"/>
      <c r="O24" s="12"/>
    </row>
    <row r="25" spans="2:15" x14ac:dyDescent="0.25">
      <c r="B25" s="95"/>
      <c r="C25" t="s">
        <v>479</v>
      </c>
      <c r="D25">
        <v>2.33E-3</v>
      </c>
      <c r="E25" s="4" t="s">
        <v>68</v>
      </c>
      <c r="G25" s="5" t="s">
        <v>58</v>
      </c>
      <c r="H25" t="s">
        <v>56</v>
      </c>
      <c r="I25">
        <v>297.27981</v>
      </c>
      <c r="J25" s="4">
        <f t="shared" si="0"/>
        <v>297.27981</v>
      </c>
      <c r="N25" s="12"/>
      <c r="O25" s="12"/>
    </row>
    <row r="26" spans="2:15" x14ac:dyDescent="0.25">
      <c r="B26" s="95"/>
      <c r="C26" t="s">
        <v>470</v>
      </c>
      <c r="D26" s="12">
        <v>0.1</v>
      </c>
      <c r="E26" s="4" t="s">
        <v>22</v>
      </c>
      <c r="G26" s="5" t="s">
        <v>59</v>
      </c>
      <c r="H26" t="s">
        <v>56</v>
      </c>
      <c r="I26">
        <v>304.04998000000001</v>
      </c>
      <c r="J26" s="4">
        <f t="shared" si="0"/>
        <v>304.04998000000001</v>
      </c>
      <c r="O26" s="12"/>
    </row>
    <row r="27" spans="2:15" x14ac:dyDescent="0.25">
      <c r="B27" s="95"/>
      <c r="C27" t="s">
        <v>480</v>
      </c>
      <c r="D27" s="12">
        <v>0.1</v>
      </c>
      <c r="E27" s="4" t="s">
        <v>22</v>
      </c>
      <c r="G27" s="5" t="s">
        <v>60</v>
      </c>
      <c r="H27" t="s">
        <v>56</v>
      </c>
      <c r="I27">
        <v>7702.4209000000001</v>
      </c>
      <c r="J27" s="4">
        <f t="shared" si="0"/>
        <v>7702.4209000000001</v>
      </c>
      <c r="N27" s="12"/>
      <c r="O27" s="12"/>
    </row>
    <row r="28" spans="2:15" x14ac:dyDescent="0.25">
      <c r="B28" s="95"/>
      <c r="C28" t="s">
        <v>481</v>
      </c>
      <c r="D28" s="12">
        <v>0.3</v>
      </c>
      <c r="E28" s="4" t="s">
        <v>22</v>
      </c>
      <c r="G28" s="5" t="s">
        <v>61</v>
      </c>
      <c r="H28" t="s">
        <v>62</v>
      </c>
      <c r="I28">
        <v>169.57425000000001</v>
      </c>
      <c r="J28" s="4">
        <f t="shared" si="0"/>
        <v>169.57425000000001</v>
      </c>
      <c r="N28" s="12"/>
      <c r="O28" s="12"/>
    </row>
    <row r="29" spans="2:15" x14ac:dyDescent="0.25">
      <c r="B29" s="95"/>
      <c r="C29" t="s">
        <v>81</v>
      </c>
      <c r="D29" s="12">
        <v>1.9</v>
      </c>
      <c r="E29" s="4" t="s">
        <v>22</v>
      </c>
      <c r="G29" s="5" t="s">
        <v>63</v>
      </c>
      <c r="H29" t="s">
        <v>64</v>
      </c>
      <c r="I29">
        <v>54.116002000000002</v>
      </c>
      <c r="J29" s="4">
        <f t="shared" si="0"/>
        <v>54.116002000000002</v>
      </c>
      <c r="N29" s="12"/>
      <c r="O29" s="12"/>
    </row>
    <row r="30" spans="2:15" x14ac:dyDescent="0.25">
      <c r="B30" s="95"/>
      <c r="C30" t="s">
        <v>79</v>
      </c>
      <c r="D30" s="12">
        <v>4.8</v>
      </c>
      <c r="E30" s="4" t="s">
        <v>22</v>
      </c>
      <c r="G30" s="5" t="s">
        <v>65</v>
      </c>
      <c r="H30" t="s">
        <v>66</v>
      </c>
      <c r="I30">
        <v>153.51607000000001</v>
      </c>
      <c r="J30" s="4">
        <f t="shared" si="0"/>
        <v>153.51607000000001</v>
      </c>
      <c r="N30" s="12"/>
      <c r="O30" s="12"/>
    </row>
    <row r="31" spans="2:15" ht="15.75" thickBot="1" x14ac:dyDescent="0.3">
      <c r="B31" s="95"/>
      <c r="C31" t="s">
        <v>483</v>
      </c>
      <c r="D31" s="12">
        <v>0.29699999999999999</v>
      </c>
      <c r="E31" s="4" t="s">
        <v>484</v>
      </c>
      <c r="G31" s="6" t="s">
        <v>67</v>
      </c>
      <c r="H31" s="7" t="s">
        <v>68</v>
      </c>
      <c r="I31" s="7">
        <v>4.1690616</v>
      </c>
      <c r="J31" s="8">
        <f t="shared" si="0"/>
        <v>4.1690616</v>
      </c>
      <c r="N31" s="12"/>
      <c r="O31" s="12"/>
    </row>
    <row r="32" spans="2:15" x14ac:dyDescent="0.25">
      <c r="B32" s="95"/>
      <c r="C32" t="s">
        <v>485</v>
      </c>
      <c r="D32" s="12">
        <v>1.49E-2</v>
      </c>
      <c r="E32" s="4" t="s">
        <v>27</v>
      </c>
      <c r="N32" s="12"/>
      <c r="O32" s="12"/>
    </row>
    <row r="33" spans="2:15" x14ac:dyDescent="0.25">
      <c r="B33" s="95"/>
      <c r="C33" t="s">
        <v>486</v>
      </c>
      <c r="D33" s="12">
        <v>1.49E-2</v>
      </c>
      <c r="E33" s="4" t="s">
        <v>27</v>
      </c>
      <c r="N33" s="12"/>
      <c r="O33" s="12"/>
    </row>
    <row r="34" spans="2:15" x14ac:dyDescent="0.25">
      <c r="B34" s="95"/>
      <c r="C34" t="s">
        <v>673</v>
      </c>
      <c r="D34" s="12">
        <v>2E-3</v>
      </c>
      <c r="E34" s="4" t="s">
        <v>150</v>
      </c>
      <c r="N34" s="12"/>
      <c r="O34" s="12"/>
    </row>
    <row r="35" spans="2:15" x14ac:dyDescent="0.25">
      <c r="B35" s="95" t="s">
        <v>462</v>
      </c>
      <c r="C35" t="s">
        <v>488</v>
      </c>
      <c r="D35" s="12">
        <v>6.2199999999999998E-2</v>
      </c>
      <c r="E35" s="4" t="s">
        <v>174</v>
      </c>
      <c r="N35" s="12"/>
      <c r="O35" s="12"/>
    </row>
    <row r="36" spans="2:15" x14ac:dyDescent="0.25">
      <c r="B36" s="95"/>
      <c r="C36" t="s">
        <v>489</v>
      </c>
      <c r="D36" s="12">
        <v>0.19400000000000001</v>
      </c>
      <c r="E36" s="4" t="s">
        <v>22</v>
      </c>
      <c r="N36" s="12"/>
      <c r="O36" s="12"/>
    </row>
    <row r="37" spans="2:15" x14ac:dyDescent="0.25">
      <c r="B37" s="95"/>
      <c r="C37" t="s">
        <v>490</v>
      </c>
      <c r="D37" s="12">
        <v>3.8399999999999997E-2</v>
      </c>
      <c r="E37" s="4" t="s">
        <v>174</v>
      </c>
      <c r="N37" s="12"/>
      <c r="O37" s="12"/>
    </row>
    <row r="38" spans="2:15" x14ac:dyDescent="0.25">
      <c r="B38" s="95"/>
      <c r="C38" t="s">
        <v>491</v>
      </c>
      <c r="D38" s="12">
        <v>0.14599999999999999</v>
      </c>
      <c r="E38" s="4" t="s">
        <v>22</v>
      </c>
      <c r="N38" s="12"/>
      <c r="O38" s="12"/>
    </row>
    <row r="39" spans="2:15" x14ac:dyDescent="0.25">
      <c r="B39" s="95"/>
      <c r="C39" t="s">
        <v>492</v>
      </c>
      <c r="D39" s="12">
        <v>8.2799999999999999E-2</v>
      </c>
      <c r="E39" s="4" t="s">
        <v>22</v>
      </c>
      <c r="N39" s="12"/>
      <c r="O39" s="12"/>
    </row>
    <row r="40" spans="2:15" x14ac:dyDescent="0.25">
      <c r="B40" s="95"/>
      <c r="C40" t="s">
        <v>493</v>
      </c>
      <c r="D40" s="12">
        <v>0.26600000000000001</v>
      </c>
      <c r="E40" s="4" t="s">
        <v>22</v>
      </c>
      <c r="N40" s="12"/>
      <c r="O40" s="12"/>
    </row>
    <row r="41" spans="2:15" x14ac:dyDescent="0.25">
      <c r="B41" s="95"/>
      <c r="C41" t="s">
        <v>473</v>
      </c>
      <c r="D41" s="12">
        <v>0.112</v>
      </c>
      <c r="E41" s="4" t="s">
        <v>22</v>
      </c>
      <c r="N41" s="12"/>
      <c r="O41" s="12"/>
    </row>
    <row r="42" spans="2:15" x14ac:dyDescent="0.25">
      <c r="B42" s="95"/>
      <c r="C42" t="s">
        <v>494</v>
      </c>
      <c r="D42" s="12">
        <v>0.14599999999999999</v>
      </c>
      <c r="E42" s="4" t="s">
        <v>22</v>
      </c>
      <c r="N42" s="12"/>
      <c r="O42" s="12"/>
    </row>
    <row r="43" spans="2:15" x14ac:dyDescent="0.25">
      <c r="B43" s="95"/>
      <c r="C43" t="s">
        <v>481</v>
      </c>
      <c r="D43" s="12">
        <v>1.2700000000000001E-3</v>
      </c>
      <c r="E43" s="4" t="s">
        <v>22</v>
      </c>
      <c r="N43" s="12"/>
      <c r="O43" s="12"/>
    </row>
    <row r="44" spans="2:15" x14ac:dyDescent="0.25">
      <c r="B44" s="95"/>
      <c r="C44" t="s">
        <v>495</v>
      </c>
      <c r="D44" s="12">
        <v>2.7000000000000001E-3</v>
      </c>
      <c r="E44" s="4" t="s">
        <v>22</v>
      </c>
      <c r="N44" s="12"/>
      <c r="O44" s="12"/>
    </row>
    <row r="45" spans="2:15" x14ac:dyDescent="0.25">
      <c r="B45" s="95"/>
      <c r="C45" t="s">
        <v>488</v>
      </c>
      <c r="D45" s="12">
        <v>46.7</v>
      </c>
      <c r="E45" s="4" t="s">
        <v>174</v>
      </c>
      <c r="N45" s="12"/>
      <c r="O45" s="12"/>
    </row>
    <row r="46" spans="2:15" x14ac:dyDescent="0.25">
      <c r="B46" s="95"/>
      <c r="C46" t="s">
        <v>490</v>
      </c>
      <c r="D46" s="12">
        <v>0.248</v>
      </c>
      <c r="E46" s="4" t="s">
        <v>26</v>
      </c>
      <c r="N46" s="12"/>
      <c r="O46" s="12"/>
    </row>
    <row r="47" spans="2:15" x14ac:dyDescent="0.25">
      <c r="B47" s="95"/>
      <c r="C47" t="s">
        <v>471</v>
      </c>
      <c r="D47" s="12">
        <v>5.1000000000000004E-3</v>
      </c>
      <c r="E47" s="4" t="s">
        <v>22</v>
      </c>
      <c r="N47" s="12"/>
      <c r="O47" s="12"/>
    </row>
    <row r="48" spans="2:15" x14ac:dyDescent="0.25">
      <c r="B48" s="95"/>
      <c r="C48" t="s">
        <v>445</v>
      </c>
      <c r="D48" s="12">
        <v>1.5900000000000001E-2</v>
      </c>
      <c r="E48" s="4" t="s">
        <v>22</v>
      </c>
      <c r="N48" s="12"/>
      <c r="O48" s="12"/>
    </row>
    <row r="49" spans="2:15" x14ac:dyDescent="0.25">
      <c r="B49" s="95"/>
      <c r="C49" t="s">
        <v>496</v>
      </c>
      <c r="D49" s="12">
        <v>6.97</v>
      </c>
      <c r="E49" s="4" t="s">
        <v>22</v>
      </c>
      <c r="N49" s="12"/>
      <c r="O49" s="12"/>
    </row>
    <row r="50" spans="2:15" x14ac:dyDescent="0.25">
      <c r="B50" s="95"/>
      <c r="C50" t="s">
        <v>497</v>
      </c>
      <c r="D50" s="12">
        <v>7.19</v>
      </c>
      <c r="E50" s="4" t="s">
        <v>22</v>
      </c>
      <c r="N50" s="12"/>
      <c r="O50" s="12"/>
    </row>
    <row r="51" spans="2:15" x14ac:dyDescent="0.25">
      <c r="B51" s="95"/>
      <c r="C51" t="s">
        <v>498</v>
      </c>
      <c r="D51" s="12">
        <v>6.97</v>
      </c>
      <c r="E51" s="4" t="s">
        <v>22</v>
      </c>
      <c r="N51" s="12"/>
      <c r="O51" s="12"/>
    </row>
    <row r="52" spans="2:15" x14ac:dyDescent="0.25">
      <c r="B52" s="95"/>
      <c r="C52" t="s">
        <v>499</v>
      </c>
      <c r="D52" s="12">
        <v>1.04E-2</v>
      </c>
      <c r="E52" s="4" t="s">
        <v>22</v>
      </c>
      <c r="N52" s="12"/>
      <c r="O52" s="12"/>
    </row>
    <row r="53" spans="2:15" x14ac:dyDescent="0.25">
      <c r="B53" s="95"/>
      <c r="C53" t="s">
        <v>500</v>
      </c>
      <c r="D53" s="12">
        <v>6.7099999999999998E-3</v>
      </c>
      <c r="E53" s="4" t="s">
        <v>22</v>
      </c>
      <c r="N53" s="12"/>
      <c r="O53" s="12"/>
    </row>
    <row r="54" spans="2:15" x14ac:dyDescent="0.25">
      <c r="B54" s="95"/>
      <c r="C54" t="s">
        <v>494</v>
      </c>
      <c r="D54" s="12">
        <v>9.74E-2</v>
      </c>
      <c r="E54" s="4" t="s">
        <v>22</v>
      </c>
      <c r="N54" s="12"/>
      <c r="O54" s="12"/>
    </row>
    <row r="55" spans="2:15" x14ac:dyDescent="0.25">
      <c r="B55" s="95"/>
      <c r="C55" t="s">
        <v>501</v>
      </c>
      <c r="D55" s="12">
        <v>8.6800000000000002E-2</v>
      </c>
      <c r="E55" s="4" t="s">
        <v>22</v>
      </c>
      <c r="N55" s="12"/>
      <c r="O55" s="12"/>
    </row>
    <row r="56" spans="2:15" x14ac:dyDescent="0.25">
      <c r="B56" s="95"/>
      <c r="C56" t="s">
        <v>502</v>
      </c>
      <c r="D56" s="12">
        <v>4.9299999999999997E-2</v>
      </c>
      <c r="E56" s="4" t="s">
        <v>22</v>
      </c>
      <c r="N56" s="12"/>
      <c r="O56" s="12"/>
    </row>
    <row r="57" spans="2:15" x14ac:dyDescent="0.25">
      <c r="B57" s="95"/>
      <c r="C57" t="s">
        <v>493</v>
      </c>
      <c r="D57" s="12">
        <v>0.159</v>
      </c>
      <c r="E57" s="4" t="s">
        <v>22</v>
      </c>
      <c r="N57" s="12"/>
      <c r="O57" s="12"/>
    </row>
    <row r="58" spans="2:15" x14ac:dyDescent="0.25">
      <c r="B58" s="95"/>
      <c r="C58" t="s">
        <v>473</v>
      </c>
      <c r="D58" s="12">
        <v>0.34100000000000003</v>
      </c>
      <c r="E58" s="4" t="s">
        <v>22</v>
      </c>
      <c r="N58" s="12"/>
      <c r="O58" s="12"/>
    </row>
    <row r="59" spans="2:15" x14ac:dyDescent="0.25">
      <c r="B59" s="95"/>
      <c r="C59" t="s">
        <v>489</v>
      </c>
      <c r="D59" s="12">
        <v>2.46</v>
      </c>
      <c r="E59" s="4" t="s">
        <v>22</v>
      </c>
      <c r="N59" s="12"/>
      <c r="O59" s="12"/>
    </row>
    <row r="60" spans="2:15" x14ac:dyDescent="0.25">
      <c r="B60" s="95"/>
      <c r="C60" t="s">
        <v>503</v>
      </c>
      <c r="D60" s="12">
        <v>1.99</v>
      </c>
      <c r="E60" s="4" t="s">
        <v>22</v>
      </c>
      <c r="N60" s="12"/>
      <c r="O60" s="12"/>
    </row>
    <row r="61" spans="2:15" x14ac:dyDescent="0.25">
      <c r="B61" s="95"/>
      <c r="C61" t="s">
        <v>504</v>
      </c>
      <c r="D61" s="12">
        <v>2.34</v>
      </c>
      <c r="E61" s="4" t="s">
        <v>22</v>
      </c>
      <c r="N61" s="12"/>
      <c r="O61" s="12"/>
    </row>
    <row r="62" spans="2:15" x14ac:dyDescent="0.25">
      <c r="B62" s="95"/>
      <c r="C62" t="s">
        <v>505</v>
      </c>
      <c r="D62" s="12">
        <v>1.4999999999999999E-4</v>
      </c>
      <c r="E62" s="4" t="s">
        <v>22</v>
      </c>
      <c r="N62" s="12"/>
      <c r="O62" s="12"/>
    </row>
    <row r="63" spans="2:15" x14ac:dyDescent="0.25">
      <c r="B63" s="95"/>
      <c r="C63" t="s">
        <v>506</v>
      </c>
      <c r="D63" s="12">
        <v>2.01E-2</v>
      </c>
      <c r="E63" s="4" t="s">
        <v>22</v>
      </c>
      <c r="N63" s="12"/>
      <c r="O63" s="12"/>
    </row>
    <row r="64" spans="2:15" x14ac:dyDescent="0.25">
      <c r="B64" s="95"/>
      <c r="C64" t="s">
        <v>507</v>
      </c>
      <c r="D64" s="12">
        <v>0.222</v>
      </c>
      <c r="E64" s="4" t="s">
        <v>22</v>
      </c>
      <c r="N64" s="12"/>
      <c r="O64" s="12"/>
    </row>
    <row r="65" spans="2:15" x14ac:dyDescent="0.25">
      <c r="B65" s="95"/>
      <c r="C65" t="s">
        <v>140</v>
      </c>
      <c r="D65" s="12">
        <v>0.222</v>
      </c>
      <c r="E65" s="4" t="s">
        <v>22</v>
      </c>
      <c r="N65" s="12"/>
      <c r="O65" s="12"/>
    </row>
    <row r="66" spans="2:15" x14ac:dyDescent="0.25">
      <c r="B66" s="95"/>
      <c r="C66" t="s">
        <v>79</v>
      </c>
      <c r="D66" s="12">
        <v>0.499</v>
      </c>
      <c r="E66" s="4" t="s">
        <v>22</v>
      </c>
      <c r="N66" s="12"/>
      <c r="O66" s="12"/>
    </row>
    <row r="67" spans="2:15" x14ac:dyDescent="0.25">
      <c r="B67" s="95"/>
      <c r="C67" t="s">
        <v>508</v>
      </c>
      <c r="D67" s="12">
        <v>0.499</v>
      </c>
      <c r="E67" s="4" t="s">
        <v>22</v>
      </c>
      <c r="N67" s="12"/>
      <c r="O67" s="12"/>
    </row>
    <row r="68" spans="2:15" x14ac:dyDescent="0.25">
      <c r="B68" s="95"/>
      <c r="C68" t="s">
        <v>509</v>
      </c>
      <c r="D68" s="12">
        <v>3.86</v>
      </c>
      <c r="E68" s="4" t="s">
        <v>22</v>
      </c>
      <c r="N68" s="12"/>
      <c r="O68" s="12"/>
    </row>
    <row r="69" spans="2:15" x14ac:dyDescent="0.25">
      <c r="B69" s="95"/>
      <c r="C69" t="s">
        <v>510</v>
      </c>
      <c r="D69" s="12">
        <v>5.6799999999999998E-5</v>
      </c>
      <c r="E69" s="4" t="s">
        <v>27</v>
      </c>
      <c r="N69" s="12"/>
      <c r="O69" s="12"/>
    </row>
    <row r="70" spans="2:15" ht="15.75" thickBot="1" x14ac:dyDescent="0.3">
      <c r="B70" s="96"/>
      <c r="C70" s="7" t="s">
        <v>511</v>
      </c>
      <c r="D70" s="50">
        <v>3.86</v>
      </c>
      <c r="E70" s="8" t="s">
        <v>22</v>
      </c>
      <c r="N70" s="12"/>
      <c r="O70" s="12"/>
    </row>
    <row r="71" spans="2:15" x14ac:dyDescent="0.25">
      <c r="B71" s="17"/>
      <c r="C71" s="17"/>
      <c r="D71" s="17"/>
      <c r="E71" s="17"/>
      <c r="N71" s="12"/>
      <c r="O71" s="12"/>
    </row>
    <row r="72" spans="2:15" ht="15.75" thickBot="1" x14ac:dyDescent="0.3"/>
    <row r="73" spans="2:15" x14ac:dyDescent="0.25">
      <c r="B73" s="64" t="s">
        <v>1</v>
      </c>
      <c r="C73" s="65"/>
      <c r="D73" s="65"/>
      <c r="E73" s="66"/>
      <c r="G73" s="64" t="s">
        <v>69</v>
      </c>
      <c r="H73" s="65"/>
      <c r="I73" s="65"/>
      <c r="J73" s="66"/>
    </row>
    <row r="74" spans="2:15" x14ac:dyDescent="0.25">
      <c r="B74" s="61" t="s">
        <v>13</v>
      </c>
      <c r="C74" s="63"/>
      <c r="D74" s="63"/>
      <c r="E74" s="4" t="s">
        <v>512</v>
      </c>
      <c r="G74" s="61" t="s">
        <v>37</v>
      </c>
      <c r="H74" s="63"/>
      <c r="I74" s="63"/>
      <c r="J74" s="4">
        <v>9661</v>
      </c>
    </row>
    <row r="75" spans="2:15" x14ac:dyDescent="0.25">
      <c r="B75" s="61" t="s">
        <v>14</v>
      </c>
      <c r="C75" s="63"/>
      <c r="D75" s="63"/>
      <c r="E75" s="4" t="s">
        <v>8</v>
      </c>
      <c r="G75" s="61" t="s">
        <v>14</v>
      </c>
      <c r="H75" s="63"/>
      <c r="I75" s="63"/>
      <c r="J75" s="4" t="s">
        <v>8</v>
      </c>
    </row>
    <row r="76" spans="2:15" x14ac:dyDescent="0.25">
      <c r="B76" s="19"/>
      <c r="C76" s="20"/>
      <c r="D76" s="20"/>
      <c r="E76" s="11"/>
      <c r="G76" s="61" t="s">
        <v>70</v>
      </c>
      <c r="H76" s="63"/>
      <c r="I76" s="63"/>
      <c r="J76" s="4" t="s">
        <v>85</v>
      </c>
    </row>
    <row r="77" spans="2:15" x14ac:dyDescent="0.25">
      <c r="B77" s="67" t="s">
        <v>7</v>
      </c>
      <c r="C77" s="68"/>
      <c r="D77" s="68"/>
      <c r="E77" s="69"/>
      <c r="G77" s="61" t="s">
        <v>18</v>
      </c>
      <c r="H77" s="63"/>
      <c r="I77" s="63"/>
      <c r="J77" s="4" t="s">
        <v>20</v>
      </c>
    </row>
    <row r="78" spans="2:15" x14ac:dyDescent="0.25">
      <c r="B78" s="5" t="s">
        <v>9</v>
      </c>
      <c r="C78" t="s">
        <v>10</v>
      </c>
      <c r="D78" t="s">
        <v>11</v>
      </c>
      <c r="E78" s="4" t="s">
        <v>12</v>
      </c>
      <c r="G78" s="9" t="s">
        <v>16</v>
      </c>
      <c r="H78" s="10" t="s">
        <v>12</v>
      </c>
      <c r="I78" s="10" t="s">
        <v>17</v>
      </c>
      <c r="J78" s="11" t="s">
        <v>19</v>
      </c>
    </row>
    <row r="79" spans="2:15" x14ac:dyDescent="0.25">
      <c r="B79" s="5"/>
      <c r="C79" t="s">
        <v>483</v>
      </c>
      <c r="D79" s="12">
        <v>960</v>
      </c>
      <c r="E79" s="4" t="s">
        <v>484</v>
      </c>
      <c r="G79" s="5" t="s">
        <v>38</v>
      </c>
      <c r="H79" t="s">
        <v>39</v>
      </c>
      <c r="I79">
        <v>659151.62</v>
      </c>
      <c r="J79" s="4">
        <f t="shared" ref="J79:J96" si="1">I79/$J$74</f>
        <v>68.228094400165617</v>
      </c>
    </row>
    <row r="80" spans="2:15" x14ac:dyDescent="0.25">
      <c r="B80" s="5"/>
      <c r="C80" t="s">
        <v>485</v>
      </c>
      <c r="D80" s="12">
        <v>48</v>
      </c>
      <c r="E80" s="4" t="s">
        <v>27</v>
      </c>
      <c r="G80" s="5" t="s">
        <v>40</v>
      </c>
      <c r="H80" t="s">
        <v>41</v>
      </c>
      <c r="I80">
        <v>0.17463271999999999</v>
      </c>
      <c r="J80" s="4">
        <f t="shared" si="1"/>
        <v>1.8076050098333506E-5</v>
      </c>
    </row>
    <row r="81" spans="2:10" x14ac:dyDescent="0.25">
      <c r="B81" s="5"/>
      <c r="C81" t="s">
        <v>486</v>
      </c>
      <c r="D81" s="12">
        <v>48</v>
      </c>
      <c r="E81" s="4" t="s">
        <v>27</v>
      </c>
      <c r="G81" s="5" t="s">
        <v>42</v>
      </c>
      <c r="H81" t="s">
        <v>43</v>
      </c>
      <c r="I81">
        <v>38135.660000000003</v>
      </c>
      <c r="J81" s="4">
        <f t="shared" si="1"/>
        <v>3.9473822585653662</v>
      </c>
    </row>
    <row r="82" spans="2:10" ht="15.75" thickBot="1" x14ac:dyDescent="0.3">
      <c r="B82" s="6"/>
      <c r="C82" s="7" t="s">
        <v>513</v>
      </c>
      <c r="D82" s="50">
        <v>126000</v>
      </c>
      <c r="E82" s="8" t="s">
        <v>22</v>
      </c>
      <c r="G82" s="5" t="s">
        <v>44</v>
      </c>
      <c r="H82" t="s">
        <v>45</v>
      </c>
      <c r="I82">
        <v>1659.9349999999999</v>
      </c>
      <c r="J82" s="4">
        <f t="shared" si="1"/>
        <v>0.17181813476865748</v>
      </c>
    </row>
    <row r="83" spans="2:10" x14ac:dyDescent="0.25">
      <c r="B83" s="17"/>
      <c r="C83" s="17"/>
      <c r="D83" s="17"/>
      <c r="E83" s="17"/>
      <c r="G83" s="5" t="s">
        <v>46</v>
      </c>
      <c r="H83" t="s">
        <v>47</v>
      </c>
      <c r="I83">
        <v>2296.9614999999999</v>
      </c>
      <c r="J83" s="4">
        <f t="shared" si="1"/>
        <v>0.23775608115101954</v>
      </c>
    </row>
    <row r="84" spans="2:10" x14ac:dyDescent="0.25">
      <c r="B84" s="17"/>
      <c r="C84" s="17"/>
      <c r="D84" s="17"/>
      <c r="E84" s="17"/>
      <c r="G84" s="5" t="s">
        <v>48</v>
      </c>
      <c r="H84" t="s">
        <v>45</v>
      </c>
      <c r="I84">
        <v>1715.1206999999999</v>
      </c>
      <c r="J84" s="4">
        <f t="shared" si="1"/>
        <v>0.17753034882517338</v>
      </c>
    </row>
    <row r="85" spans="2:10" x14ac:dyDescent="0.25">
      <c r="B85" s="17"/>
      <c r="C85" s="17"/>
      <c r="D85" s="17"/>
      <c r="E85" s="17"/>
      <c r="G85" s="5" t="s">
        <v>49</v>
      </c>
      <c r="H85" t="s">
        <v>50</v>
      </c>
      <c r="I85">
        <v>2470.3551000000002</v>
      </c>
      <c r="J85" s="4">
        <f t="shared" si="1"/>
        <v>0.25570387123486182</v>
      </c>
    </row>
    <row r="86" spans="2:10" x14ac:dyDescent="0.25">
      <c r="B86" s="17"/>
      <c r="C86" s="17"/>
      <c r="D86" s="17"/>
      <c r="E86" s="17"/>
      <c r="G86" s="5" t="s">
        <v>51</v>
      </c>
      <c r="H86" t="s">
        <v>52</v>
      </c>
      <c r="I86">
        <v>788.09715000000006</v>
      </c>
      <c r="J86" s="4">
        <f t="shared" si="1"/>
        <v>8.157511127212505E-2</v>
      </c>
    </row>
    <row r="87" spans="2:10" x14ac:dyDescent="0.25">
      <c r="G87" s="5" t="s">
        <v>53</v>
      </c>
      <c r="H87" t="s">
        <v>54</v>
      </c>
      <c r="I87">
        <v>22.023454000000001</v>
      </c>
      <c r="J87" s="4">
        <f t="shared" si="1"/>
        <v>2.2796246765345203E-3</v>
      </c>
    </row>
    <row r="88" spans="2:10" x14ac:dyDescent="0.25">
      <c r="G88" s="5" t="s">
        <v>55</v>
      </c>
      <c r="H88" t="s">
        <v>56</v>
      </c>
      <c r="I88">
        <v>19834346</v>
      </c>
      <c r="J88" s="4">
        <f t="shared" si="1"/>
        <v>2053.0323983024532</v>
      </c>
    </row>
    <row r="89" spans="2:10" x14ac:dyDescent="0.25">
      <c r="G89" s="5" t="s">
        <v>57</v>
      </c>
      <c r="H89" t="s">
        <v>56</v>
      </c>
      <c r="I89">
        <v>409997.6</v>
      </c>
      <c r="J89" s="4">
        <f t="shared" si="1"/>
        <v>42.438422523548283</v>
      </c>
    </row>
    <row r="90" spans="2:10" x14ac:dyDescent="0.25">
      <c r="G90" s="5" t="s">
        <v>58</v>
      </c>
      <c r="H90" t="s">
        <v>56</v>
      </c>
      <c r="I90">
        <v>536278.04</v>
      </c>
      <c r="J90" s="4">
        <f t="shared" si="1"/>
        <v>55.509578718559162</v>
      </c>
    </row>
    <row r="91" spans="2:10" x14ac:dyDescent="0.25">
      <c r="G91" s="5" t="s">
        <v>59</v>
      </c>
      <c r="H91" t="s">
        <v>56</v>
      </c>
      <c r="I91">
        <v>3960170.7</v>
      </c>
      <c r="J91" s="4">
        <f t="shared" si="1"/>
        <v>409.91312493530694</v>
      </c>
    </row>
    <row r="92" spans="2:10" x14ac:dyDescent="0.25">
      <c r="G92" s="5" t="s">
        <v>60</v>
      </c>
      <c r="H92" t="s">
        <v>56</v>
      </c>
      <c r="I92">
        <v>14055001</v>
      </c>
      <c r="J92" s="4">
        <f t="shared" si="1"/>
        <v>1454.8184452955181</v>
      </c>
    </row>
    <row r="93" spans="2:10" x14ac:dyDescent="0.25">
      <c r="G93" s="5" t="s">
        <v>61</v>
      </c>
      <c r="H93" t="s">
        <v>62</v>
      </c>
      <c r="I93">
        <v>28314.179</v>
      </c>
      <c r="J93" s="4">
        <f t="shared" si="1"/>
        <v>2.9307710381948038</v>
      </c>
    </row>
    <row r="94" spans="2:10" x14ac:dyDescent="0.25">
      <c r="G94" s="5" t="s">
        <v>63</v>
      </c>
      <c r="H94" t="s">
        <v>64</v>
      </c>
      <c r="I94">
        <v>62290.775999999998</v>
      </c>
      <c r="J94" s="4">
        <f t="shared" si="1"/>
        <v>6.4476530379877861</v>
      </c>
    </row>
    <row r="95" spans="2:10" x14ac:dyDescent="0.25">
      <c r="G95" s="5" t="s">
        <v>65</v>
      </c>
      <c r="H95" t="s">
        <v>66</v>
      </c>
      <c r="I95">
        <v>160709.76999999999</v>
      </c>
      <c r="J95" s="4">
        <f t="shared" si="1"/>
        <v>16.63490011385985</v>
      </c>
    </row>
    <row r="96" spans="2:10" ht="15.75" thickBot="1" x14ac:dyDescent="0.3">
      <c r="G96" s="6" t="s">
        <v>67</v>
      </c>
      <c r="H96" s="7" t="s">
        <v>68</v>
      </c>
      <c r="I96" s="7">
        <v>6708.6041999999998</v>
      </c>
      <c r="J96" s="8">
        <f t="shared" si="1"/>
        <v>0.69440060035193041</v>
      </c>
    </row>
    <row r="99" spans="2:3" x14ac:dyDescent="0.25">
      <c r="B99" t="s">
        <v>83</v>
      </c>
      <c r="C99" t="s">
        <v>467</v>
      </c>
    </row>
    <row r="100" spans="2:3" x14ac:dyDescent="0.25">
      <c r="C100" t="s">
        <v>674</v>
      </c>
    </row>
  </sheetData>
  <mergeCells count="24">
    <mergeCell ref="B2:C2"/>
    <mergeCell ref="D2:D3"/>
    <mergeCell ref="D4:D5"/>
    <mergeCell ref="B14:B22"/>
    <mergeCell ref="B23:B34"/>
    <mergeCell ref="B8:E8"/>
    <mergeCell ref="G74:I74"/>
    <mergeCell ref="B75:D75"/>
    <mergeCell ref="G75:I75"/>
    <mergeCell ref="G8:J8"/>
    <mergeCell ref="B9:D9"/>
    <mergeCell ref="G9:I9"/>
    <mergeCell ref="B10:D10"/>
    <mergeCell ref="G10:I10"/>
    <mergeCell ref="G76:I76"/>
    <mergeCell ref="B77:E77"/>
    <mergeCell ref="G77:I77"/>
    <mergeCell ref="G11:I11"/>
    <mergeCell ref="B12:E12"/>
    <mergeCell ref="G12:I12"/>
    <mergeCell ref="B73:E73"/>
    <mergeCell ref="G73:J73"/>
    <mergeCell ref="B35:B70"/>
    <mergeCell ref="B74:D7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F1FC3-B786-4618-85A2-8817DD8B2D72}">
  <dimension ref="B2:AC77"/>
  <sheetViews>
    <sheetView zoomScale="70" zoomScaleNormal="70" workbookViewId="0">
      <selection activeCell="AL53" sqref="AL53"/>
    </sheetView>
  </sheetViews>
  <sheetFormatPr defaultRowHeight="15" x14ac:dyDescent="0.25"/>
  <cols>
    <col min="2" max="2" width="11.85546875" customWidth="1"/>
    <col min="3" max="3" width="16.140625" customWidth="1"/>
    <col min="7" max="7" width="36.85546875" customWidth="1"/>
    <col min="8" max="8" width="12.42578125" customWidth="1"/>
    <col min="9" max="9" width="12.28515625" customWidth="1"/>
    <col min="10" max="10" width="37.5703125" customWidth="1"/>
    <col min="16" max="16" width="11" customWidth="1"/>
  </cols>
  <sheetData>
    <row r="2" spans="2:10" x14ac:dyDescent="0.25">
      <c r="B2" s="82" t="s">
        <v>2</v>
      </c>
      <c r="C2" s="82"/>
      <c r="D2" s="1" t="s">
        <v>554</v>
      </c>
    </row>
    <row r="3" spans="2:10" x14ac:dyDescent="0.25">
      <c r="C3" t="s">
        <v>587</v>
      </c>
      <c r="D3" t="s">
        <v>590</v>
      </c>
    </row>
    <row r="5" spans="2:10" ht="15.75" thickBot="1" x14ac:dyDescent="0.3"/>
    <row r="6" spans="2:10" x14ac:dyDescent="0.25">
      <c r="B6" s="70" t="s">
        <v>0</v>
      </c>
      <c r="C6" s="71"/>
      <c r="D6" s="71"/>
      <c r="E6" s="72"/>
      <c r="G6" s="70" t="s">
        <v>15</v>
      </c>
      <c r="H6" s="71"/>
      <c r="I6" s="71"/>
      <c r="J6" s="72"/>
    </row>
    <row r="7" spans="2:10" x14ac:dyDescent="0.25">
      <c r="B7" s="61" t="s">
        <v>6</v>
      </c>
      <c r="C7" s="63"/>
      <c r="D7" s="63"/>
      <c r="E7" s="4" t="s">
        <v>516</v>
      </c>
      <c r="G7" s="61" t="s">
        <v>35</v>
      </c>
      <c r="H7" s="63"/>
      <c r="I7" s="63"/>
      <c r="J7" s="4">
        <v>1129.05</v>
      </c>
    </row>
    <row r="8" spans="2:10" x14ac:dyDescent="0.25">
      <c r="B8" s="61" t="s">
        <v>5</v>
      </c>
      <c r="C8" s="63"/>
      <c r="D8" s="63"/>
      <c r="E8" s="4" t="s">
        <v>561</v>
      </c>
      <c r="G8" s="61" t="s">
        <v>5</v>
      </c>
      <c r="H8" s="63"/>
      <c r="I8" s="63"/>
      <c r="J8" s="4" t="s">
        <v>8</v>
      </c>
    </row>
    <row r="9" spans="2:10" x14ac:dyDescent="0.25">
      <c r="B9" s="19"/>
      <c r="C9" s="20"/>
      <c r="D9" s="20"/>
      <c r="E9" s="11"/>
      <c r="G9" s="61" t="s">
        <v>70</v>
      </c>
      <c r="H9" s="63"/>
      <c r="I9" s="63"/>
      <c r="J9" s="4" t="s">
        <v>85</v>
      </c>
    </row>
    <row r="10" spans="2:10" x14ac:dyDescent="0.25">
      <c r="B10" s="67" t="s">
        <v>7</v>
      </c>
      <c r="C10" s="68"/>
      <c r="D10" s="68"/>
      <c r="E10" s="69"/>
      <c r="G10" s="61" t="s">
        <v>18</v>
      </c>
      <c r="H10" s="63"/>
      <c r="I10" s="63"/>
      <c r="J10" s="4" t="s">
        <v>20</v>
      </c>
    </row>
    <row r="11" spans="2:10" x14ac:dyDescent="0.25">
      <c r="B11" s="5" t="s">
        <v>9</v>
      </c>
      <c r="C11" t="s">
        <v>10</v>
      </c>
      <c r="D11" t="s">
        <v>11</v>
      </c>
      <c r="E11" s="4" t="s">
        <v>12</v>
      </c>
      <c r="G11" s="9" t="s">
        <v>16</v>
      </c>
      <c r="H11" s="10" t="s">
        <v>12</v>
      </c>
      <c r="I11" s="10" t="s">
        <v>17</v>
      </c>
      <c r="J11" s="11" t="s">
        <v>36</v>
      </c>
    </row>
    <row r="12" spans="2:10" x14ac:dyDescent="0.25">
      <c r="B12" s="75" t="s">
        <v>517</v>
      </c>
      <c r="C12" s="37" t="s">
        <v>575</v>
      </c>
      <c r="D12" s="56">
        <v>263.54399999999998</v>
      </c>
      <c r="E12" s="39" t="s">
        <v>22</v>
      </c>
      <c r="G12" s="5" t="s">
        <v>38</v>
      </c>
      <c r="H12" t="s">
        <v>39</v>
      </c>
      <c r="I12">
        <v>43254.845000000001</v>
      </c>
      <c r="J12" s="4">
        <f>I12/$J$7</f>
        <v>38.31083211549533</v>
      </c>
    </row>
    <row r="13" spans="2:10" x14ac:dyDescent="0.25">
      <c r="B13" s="75"/>
      <c r="C13" s="37" t="s">
        <v>519</v>
      </c>
      <c r="D13" s="56">
        <v>149.79</v>
      </c>
      <c r="E13" s="39" t="s">
        <v>22</v>
      </c>
      <c r="G13" s="5" t="s">
        <v>40</v>
      </c>
      <c r="H13" t="s">
        <v>41</v>
      </c>
      <c r="I13">
        <v>1.9739554999999999E-2</v>
      </c>
      <c r="J13" s="4">
        <f t="shared" ref="J13:J29" si="0">I13/$J$7</f>
        <v>1.7483331119082414E-5</v>
      </c>
    </row>
    <row r="14" spans="2:10" x14ac:dyDescent="0.25">
      <c r="B14" s="75"/>
      <c r="C14" t="s">
        <v>523</v>
      </c>
      <c r="D14" s="56">
        <v>5.0964686385861047</v>
      </c>
      <c r="E14" s="4" t="s">
        <v>22</v>
      </c>
      <c r="G14" s="5" t="s">
        <v>42</v>
      </c>
      <c r="H14" t="s">
        <v>43</v>
      </c>
      <c r="I14">
        <v>2449.7835</v>
      </c>
      <c r="J14" s="4">
        <f t="shared" si="0"/>
        <v>2.169774146406271</v>
      </c>
    </row>
    <row r="15" spans="2:10" x14ac:dyDescent="0.25">
      <c r="B15" s="75"/>
      <c r="C15" t="s">
        <v>524</v>
      </c>
      <c r="D15" s="56">
        <v>2.353006689992375E-7</v>
      </c>
      <c r="E15" s="4" t="s">
        <v>150</v>
      </c>
      <c r="G15" s="5" t="s">
        <v>44</v>
      </c>
      <c r="H15" t="s">
        <v>45</v>
      </c>
      <c r="I15">
        <v>164.30007000000001</v>
      </c>
      <c r="J15" s="4">
        <f t="shared" si="0"/>
        <v>0.14552063239006247</v>
      </c>
    </row>
    <row r="16" spans="2:10" x14ac:dyDescent="0.25">
      <c r="B16" s="75"/>
      <c r="C16" t="s">
        <v>525</v>
      </c>
      <c r="D16" s="56">
        <v>51.375691921230896</v>
      </c>
      <c r="E16" s="4" t="s">
        <v>22</v>
      </c>
      <c r="G16" s="5" t="s">
        <v>46</v>
      </c>
      <c r="H16" t="s">
        <v>47</v>
      </c>
      <c r="I16">
        <v>196.28440000000001</v>
      </c>
      <c r="J16" s="4">
        <f t="shared" si="0"/>
        <v>0.17384916522740357</v>
      </c>
    </row>
    <row r="17" spans="2:10" x14ac:dyDescent="0.25">
      <c r="B17" s="75"/>
      <c r="C17" t="s">
        <v>481</v>
      </c>
      <c r="D17" s="56">
        <v>5.0964686385861047</v>
      </c>
      <c r="E17" s="4" t="s">
        <v>22</v>
      </c>
      <c r="G17" s="5" t="s">
        <v>48</v>
      </c>
      <c r="H17" t="s">
        <v>45</v>
      </c>
      <c r="I17">
        <v>175.60874000000001</v>
      </c>
      <c r="J17" s="4">
        <f t="shared" si="0"/>
        <v>0.15553672556574114</v>
      </c>
    </row>
    <row r="18" spans="2:10" x14ac:dyDescent="0.25">
      <c r="B18" s="75"/>
      <c r="C18" t="s">
        <v>529</v>
      </c>
      <c r="D18">
        <v>25.2563</v>
      </c>
      <c r="E18" s="4" t="s">
        <v>22</v>
      </c>
      <c r="G18" s="5" t="s">
        <v>49</v>
      </c>
      <c r="H18" t="s">
        <v>50</v>
      </c>
      <c r="I18">
        <v>527.97511999999995</v>
      </c>
      <c r="J18" s="4">
        <f t="shared" si="0"/>
        <v>0.46762775784951949</v>
      </c>
    </row>
    <row r="19" spans="2:10" x14ac:dyDescent="0.25">
      <c r="B19" s="75"/>
      <c r="C19" t="s">
        <v>79</v>
      </c>
      <c r="D19" s="56">
        <v>51.375691921230896</v>
      </c>
      <c r="E19" s="4" t="s">
        <v>22</v>
      </c>
      <c r="G19" s="5" t="s">
        <v>51</v>
      </c>
      <c r="H19" t="s">
        <v>52</v>
      </c>
      <c r="I19">
        <v>66.501745</v>
      </c>
      <c r="J19" s="4">
        <f t="shared" si="0"/>
        <v>5.8900619990257301E-2</v>
      </c>
    </row>
    <row r="20" spans="2:10" x14ac:dyDescent="0.25">
      <c r="B20" s="75"/>
      <c r="C20" t="s">
        <v>526</v>
      </c>
      <c r="D20" s="56">
        <v>282.56630556676993</v>
      </c>
      <c r="E20" s="4" t="s">
        <v>426</v>
      </c>
      <c r="G20" s="5" t="s">
        <v>53</v>
      </c>
      <c r="H20" t="s">
        <v>54</v>
      </c>
      <c r="I20">
        <v>2.2858532</v>
      </c>
      <c r="J20" s="4">
        <f t="shared" si="0"/>
        <v>2.0245810194411233E-3</v>
      </c>
    </row>
    <row r="21" spans="2:10" x14ac:dyDescent="0.25">
      <c r="B21" s="75"/>
      <c r="C21" t="s">
        <v>527</v>
      </c>
      <c r="D21" s="56">
        <v>282.56630556676993</v>
      </c>
      <c r="E21" s="4" t="s">
        <v>426</v>
      </c>
      <c r="G21" s="5" t="s">
        <v>55</v>
      </c>
      <c r="H21" t="s">
        <v>56</v>
      </c>
      <c r="I21">
        <v>999736.54</v>
      </c>
      <c r="J21" s="4">
        <f t="shared" si="0"/>
        <v>885.46702094681382</v>
      </c>
    </row>
    <row r="22" spans="2:10" x14ac:dyDescent="0.25">
      <c r="B22" s="75" t="s">
        <v>521</v>
      </c>
      <c r="C22" t="s">
        <v>524</v>
      </c>
      <c r="D22">
        <v>5.0634321177051103E-8</v>
      </c>
      <c r="E22" s="4" t="s">
        <v>150</v>
      </c>
      <c r="G22" s="5" t="s">
        <v>57</v>
      </c>
      <c r="H22" t="s">
        <v>56</v>
      </c>
      <c r="I22">
        <v>42007.311999999998</v>
      </c>
      <c r="J22" s="4">
        <f t="shared" si="0"/>
        <v>37.205891678845049</v>
      </c>
    </row>
    <row r="23" spans="2:10" x14ac:dyDescent="0.25">
      <c r="B23" s="75"/>
      <c r="C23" t="s">
        <v>525</v>
      </c>
      <c r="D23">
        <v>110.55528641277533</v>
      </c>
      <c r="E23" s="4" t="s">
        <v>22</v>
      </c>
      <c r="G23" s="5" t="s">
        <v>58</v>
      </c>
      <c r="H23" t="s">
        <v>56</v>
      </c>
      <c r="I23">
        <v>52932.023000000001</v>
      </c>
      <c r="J23" s="4">
        <f t="shared" si="0"/>
        <v>46.881912227093579</v>
      </c>
    </row>
    <row r="24" spans="2:10" x14ac:dyDescent="0.25">
      <c r="B24" s="75"/>
      <c r="C24" t="s">
        <v>528</v>
      </c>
      <c r="D24">
        <v>6.0805407527026434</v>
      </c>
      <c r="E24" s="4" t="s">
        <v>22</v>
      </c>
      <c r="G24" s="5" t="s">
        <v>59</v>
      </c>
      <c r="H24" t="s">
        <v>56</v>
      </c>
      <c r="I24">
        <v>64920.351000000002</v>
      </c>
      <c r="J24" s="4">
        <f t="shared" si="0"/>
        <v>57.499978743191186</v>
      </c>
    </row>
    <row r="25" spans="2:10" x14ac:dyDescent="0.25">
      <c r="B25" s="75"/>
      <c r="C25" t="s">
        <v>79</v>
      </c>
      <c r="D25">
        <v>110.55528641277533</v>
      </c>
      <c r="E25" s="4" t="s">
        <v>22</v>
      </c>
      <c r="G25" s="5" t="s">
        <v>60</v>
      </c>
      <c r="H25" t="s">
        <v>56</v>
      </c>
      <c r="I25">
        <v>666347.68999999994</v>
      </c>
      <c r="J25" s="4">
        <f t="shared" si="0"/>
        <v>590.1843939595235</v>
      </c>
    </row>
    <row r="26" spans="2:10" x14ac:dyDescent="0.25">
      <c r="B26" s="75"/>
      <c r="C26" t="s">
        <v>526</v>
      </c>
      <c r="D26">
        <v>34.824915220024231</v>
      </c>
      <c r="E26" s="4" t="s">
        <v>426</v>
      </c>
      <c r="G26" s="5" t="s">
        <v>61</v>
      </c>
      <c r="H26" t="s">
        <v>62</v>
      </c>
      <c r="I26">
        <v>2938.9169000000002</v>
      </c>
      <c r="J26" s="4">
        <f t="shared" si="0"/>
        <v>2.6029997785749082</v>
      </c>
    </row>
    <row r="27" spans="2:10" x14ac:dyDescent="0.25">
      <c r="B27" s="75"/>
      <c r="C27" t="s">
        <v>527</v>
      </c>
      <c r="D27">
        <v>34.824915220024231</v>
      </c>
      <c r="E27" s="4" t="s">
        <v>426</v>
      </c>
      <c r="G27" s="5" t="s">
        <v>63</v>
      </c>
      <c r="H27" t="s">
        <v>64</v>
      </c>
      <c r="I27">
        <v>2295.8094000000001</v>
      </c>
      <c r="J27" s="4">
        <f t="shared" si="0"/>
        <v>2.0333992294406804</v>
      </c>
    </row>
    <row r="28" spans="2:10" ht="15.75" thickBot="1" x14ac:dyDescent="0.3">
      <c r="B28" s="6" t="s">
        <v>522</v>
      </c>
      <c r="C28" s="58" t="s">
        <v>673</v>
      </c>
      <c r="D28" s="58">
        <v>2.6</v>
      </c>
      <c r="E28" s="59" t="s">
        <v>150</v>
      </c>
      <c r="G28" s="5" t="s">
        <v>65</v>
      </c>
      <c r="H28" t="s">
        <v>66</v>
      </c>
      <c r="I28">
        <v>13415.527</v>
      </c>
      <c r="J28" s="4">
        <f t="shared" si="0"/>
        <v>11.882137194986937</v>
      </c>
    </row>
    <row r="29" spans="2:10" ht="15.75" thickBot="1" x14ac:dyDescent="0.3">
      <c r="G29" s="6" t="s">
        <v>67</v>
      </c>
      <c r="H29" s="7" t="s">
        <v>68</v>
      </c>
      <c r="I29" s="7">
        <v>515.81776000000002</v>
      </c>
      <c r="J29" s="8">
        <f t="shared" si="0"/>
        <v>0.45685997962889158</v>
      </c>
    </row>
    <row r="31" spans="2:10" ht="15.75" thickBot="1" x14ac:dyDescent="0.3"/>
    <row r="32" spans="2:10" x14ac:dyDescent="0.25">
      <c r="B32" s="64" t="s">
        <v>1</v>
      </c>
      <c r="C32" s="65"/>
      <c r="D32" s="65"/>
      <c r="E32" s="66"/>
      <c r="G32" s="64" t="s">
        <v>69</v>
      </c>
      <c r="H32" s="65"/>
      <c r="I32" s="65"/>
      <c r="J32" s="66"/>
    </row>
    <row r="33" spans="2:10" x14ac:dyDescent="0.25">
      <c r="B33" s="61" t="s">
        <v>13</v>
      </c>
      <c r="C33" s="63"/>
      <c r="D33" s="63"/>
      <c r="E33" s="4" t="s">
        <v>514</v>
      </c>
      <c r="G33" s="61" t="s">
        <v>37</v>
      </c>
      <c r="H33" s="63"/>
      <c r="I33" s="63"/>
      <c r="J33" s="4">
        <v>1129.05</v>
      </c>
    </row>
    <row r="34" spans="2:10" x14ac:dyDescent="0.25">
      <c r="B34" s="61" t="s">
        <v>14</v>
      </c>
      <c r="C34" s="63"/>
      <c r="D34" s="63"/>
      <c r="E34" s="4" t="s">
        <v>515</v>
      </c>
      <c r="G34" s="61" t="s">
        <v>14</v>
      </c>
      <c r="H34" s="63"/>
      <c r="I34" s="63"/>
      <c r="J34" s="4" t="s">
        <v>8</v>
      </c>
    </row>
    <row r="35" spans="2:10" x14ac:dyDescent="0.25">
      <c r="B35" s="19"/>
      <c r="C35" s="20"/>
      <c r="D35" s="20"/>
      <c r="E35" s="11"/>
      <c r="G35" s="61" t="s">
        <v>70</v>
      </c>
      <c r="H35" s="63"/>
      <c r="I35" s="63"/>
      <c r="J35" s="4" t="s">
        <v>85</v>
      </c>
    </row>
    <row r="36" spans="2:10" x14ac:dyDescent="0.25">
      <c r="B36" s="67" t="s">
        <v>7</v>
      </c>
      <c r="C36" s="68"/>
      <c r="D36" s="68"/>
      <c r="E36" s="69"/>
      <c r="G36" s="61" t="s">
        <v>18</v>
      </c>
      <c r="H36" s="63"/>
      <c r="I36" s="63"/>
      <c r="J36" s="4" t="s">
        <v>20</v>
      </c>
    </row>
    <row r="37" spans="2:10" x14ac:dyDescent="0.25">
      <c r="B37" s="5" t="s">
        <v>9</v>
      </c>
      <c r="C37" t="s">
        <v>10</v>
      </c>
      <c r="D37" t="s">
        <v>11</v>
      </c>
      <c r="E37" s="4" t="s">
        <v>12</v>
      </c>
      <c r="G37" s="9" t="s">
        <v>16</v>
      </c>
      <c r="H37" s="10" t="s">
        <v>12</v>
      </c>
      <c r="I37" s="10" t="s">
        <v>17</v>
      </c>
      <c r="J37" s="11" t="s">
        <v>19</v>
      </c>
    </row>
    <row r="38" spans="2:10" x14ac:dyDescent="0.25">
      <c r="B38" s="75" t="s">
        <v>517</v>
      </c>
      <c r="C38" s="37" t="s">
        <v>587</v>
      </c>
      <c r="D38">
        <v>1.3</v>
      </c>
      <c r="E38" s="4" t="s">
        <v>546</v>
      </c>
      <c r="G38" s="5" t="s">
        <v>38</v>
      </c>
      <c r="H38" t="s">
        <v>39</v>
      </c>
      <c r="I38">
        <v>45547387</v>
      </c>
      <c r="J38" s="4">
        <f>I38/$J$33</f>
        <v>40341.337407555024</v>
      </c>
    </row>
    <row r="39" spans="2:10" x14ac:dyDescent="0.25">
      <c r="B39" s="75"/>
      <c r="C39" t="s">
        <v>523</v>
      </c>
      <c r="D39">
        <v>99185.264546572085</v>
      </c>
      <c r="E39" s="4" t="s">
        <v>22</v>
      </c>
      <c r="G39" s="5" t="s">
        <v>40</v>
      </c>
      <c r="H39" t="s">
        <v>41</v>
      </c>
      <c r="I39">
        <v>14.58798</v>
      </c>
      <c r="J39" s="4">
        <f>I39/$J$33</f>
        <v>1.2920579248040388E-2</v>
      </c>
    </row>
    <row r="40" spans="2:10" x14ac:dyDescent="0.25">
      <c r="B40" s="75"/>
      <c r="C40" t="s">
        <v>524</v>
      </c>
      <c r="D40">
        <v>4.5793196736219777E-3</v>
      </c>
      <c r="E40" s="4" t="s">
        <v>150</v>
      </c>
      <c r="G40" s="5" t="s">
        <v>42</v>
      </c>
      <c r="H40" t="s">
        <v>43</v>
      </c>
      <c r="I40">
        <v>1397127.2</v>
      </c>
      <c r="J40" s="4">
        <f t="shared" ref="J40:J55" si="1">I40/$J$33</f>
        <v>1237.4360745759709</v>
      </c>
    </row>
    <row r="41" spans="2:10" x14ac:dyDescent="0.25">
      <c r="B41" s="75"/>
      <c r="C41" t="s">
        <v>525</v>
      </c>
      <c r="D41">
        <v>999851.4571227025</v>
      </c>
      <c r="E41" s="4" t="s">
        <v>22</v>
      </c>
      <c r="G41" s="5" t="s">
        <v>44</v>
      </c>
      <c r="H41" t="s">
        <v>45</v>
      </c>
      <c r="I41">
        <v>107572.98</v>
      </c>
      <c r="J41" s="4">
        <f t="shared" si="1"/>
        <v>95.277427926132589</v>
      </c>
    </row>
    <row r="42" spans="2:10" x14ac:dyDescent="0.25">
      <c r="B42" s="75"/>
      <c r="C42" t="s">
        <v>481</v>
      </c>
      <c r="D42">
        <v>99185.264546572085</v>
      </c>
      <c r="E42" s="4" t="s">
        <v>22</v>
      </c>
      <c r="G42" s="5" t="s">
        <v>46</v>
      </c>
      <c r="H42" t="s">
        <v>47</v>
      </c>
      <c r="I42">
        <v>77115.057000000001</v>
      </c>
      <c r="J42" s="4">
        <f t="shared" si="1"/>
        <v>68.300834329746252</v>
      </c>
    </row>
    <row r="43" spans="2:10" x14ac:dyDescent="0.25">
      <c r="B43" s="75"/>
      <c r="C43" t="s">
        <v>79</v>
      </c>
      <c r="D43">
        <v>999851.45712270297</v>
      </c>
      <c r="E43" s="4" t="s">
        <v>22</v>
      </c>
      <c r="G43" s="5" t="s">
        <v>48</v>
      </c>
      <c r="H43" t="s">
        <v>45</v>
      </c>
      <c r="I43">
        <v>111168.12</v>
      </c>
      <c r="J43" s="4">
        <f t="shared" si="1"/>
        <v>98.461644745582575</v>
      </c>
    </row>
    <row r="44" spans="2:10" x14ac:dyDescent="0.25">
      <c r="B44" s="75"/>
      <c r="C44" t="s">
        <v>526</v>
      </c>
      <c r="D44">
        <v>5499183.0141748628</v>
      </c>
      <c r="E44" s="4" t="s">
        <v>426</v>
      </c>
      <c r="G44" s="5" t="s">
        <v>49</v>
      </c>
      <c r="H44" t="s">
        <v>50</v>
      </c>
      <c r="I44">
        <v>164263.41</v>
      </c>
      <c r="J44" s="4">
        <f t="shared" si="1"/>
        <v>145.48816261458748</v>
      </c>
    </row>
    <row r="45" spans="2:10" x14ac:dyDescent="0.25">
      <c r="B45" s="75"/>
      <c r="C45" t="s">
        <v>527</v>
      </c>
      <c r="D45">
        <v>5499183.0141748628</v>
      </c>
      <c r="E45" s="4" t="s">
        <v>426</v>
      </c>
      <c r="G45" s="5" t="s">
        <v>51</v>
      </c>
      <c r="H45" t="s">
        <v>52</v>
      </c>
      <c r="I45">
        <v>22169.133000000002</v>
      </c>
      <c r="J45" s="4">
        <f t="shared" si="1"/>
        <v>19.635209246711838</v>
      </c>
    </row>
    <row r="46" spans="2:10" x14ac:dyDescent="0.25">
      <c r="B46" s="75" t="s">
        <v>521</v>
      </c>
      <c r="C46" t="s">
        <v>524</v>
      </c>
      <c r="D46">
        <v>9.8542322090599513E-4</v>
      </c>
      <c r="E46" s="4" t="s">
        <v>150</v>
      </c>
      <c r="G46" s="5" t="s">
        <v>53</v>
      </c>
      <c r="H46" t="s">
        <v>54</v>
      </c>
      <c r="I46">
        <v>3204.6500999999998</v>
      </c>
      <c r="J46" s="4">
        <f t="shared" si="1"/>
        <v>2.838359771489305</v>
      </c>
    </row>
    <row r="47" spans="2:10" x14ac:dyDescent="0.25">
      <c r="B47" s="75"/>
      <c r="C47" t="s">
        <v>525</v>
      </c>
      <c r="D47">
        <v>2151579.0849475875</v>
      </c>
      <c r="E47" s="4" t="s">
        <v>22</v>
      </c>
      <c r="G47" s="5" t="s">
        <v>55</v>
      </c>
      <c r="H47" t="s">
        <v>56</v>
      </c>
      <c r="I47" s="12">
        <v>103461330</v>
      </c>
      <c r="J47" s="4">
        <f t="shared" si="1"/>
        <v>91635.738009831271</v>
      </c>
    </row>
    <row r="48" spans="2:10" x14ac:dyDescent="0.25">
      <c r="B48" s="75"/>
      <c r="C48" t="s">
        <v>528</v>
      </c>
      <c r="D48">
        <v>118336.84967211733</v>
      </c>
      <c r="E48" s="4" t="s">
        <v>22</v>
      </c>
      <c r="G48" s="5" t="s">
        <v>57</v>
      </c>
      <c r="H48" t="s">
        <v>56</v>
      </c>
      <c r="I48">
        <v>3859145.1</v>
      </c>
      <c r="J48" s="4">
        <f t="shared" si="1"/>
        <v>3418.0462335591869</v>
      </c>
    </row>
    <row r="49" spans="2:29" x14ac:dyDescent="0.25">
      <c r="B49" s="75"/>
      <c r="C49" t="s">
        <v>79</v>
      </c>
      <c r="D49">
        <v>2151579.0849475875</v>
      </c>
      <c r="E49" s="4" t="s">
        <v>22</v>
      </c>
      <c r="G49" s="5" t="s">
        <v>58</v>
      </c>
      <c r="H49" t="s">
        <v>56</v>
      </c>
      <c r="I49">
        <v>5179682.5999999996</v>
      </c>
      <c r="J49" s="4">
        <f t="shared" si="1"/>
        <v>4587.6467826934149</v>
      </c>
    </row>
    <row r="50" spans="2:29" x14ac:dyDescent="0.25">
      <c r="B50" s="75"/>
      <c r="C50" t="s">
        <v>526</v>
      </c>
      <c r="D50">
        <v>677747.41175849014</v>
      </c>
      <c r="E50" s="4" t="s">
        <v>426</v>
      </c>
      <c r="G50" s="5" t="s">
        <v>59</v>
      </c>
      <c r="H50" t="s">
        <v>56</v>
      </c>
      <c r="I50">
        <v>59116596</v>
      </c>
      <c r="J50" s="4">
        <f t="shared" si="1"/>
        <v>52359.590806430184</v>
      </c>
    </row>
    <row r="51" spans="2:29" ht="15.75" thickBot="1" x14ac:dyDescent="0.3">
      <c r="B51" s="91"/>
      <c r="C51" s="7" t="s">
        <v>527</v>
      </c>
      <c r="D51" s="7">
        <v>677747.41175849014</v>
      </c>
      <c r="E51" s="8" t="s">
        <v>426</v>
      </c>
      <c r="G51" s="5" t="s">
        <v>60</v>
      </c>
      <c r="H51" t="s">
        <v>56</v>
      </c>
      <c r="I51">
        <v>95437360</v>
      </c>
      <c r="J51" s="4">
        <f t="shared" si="1"/>
        <v>84528.904831495514</v>
      </c>
    </row>
    <row r="52" spans="2:29" x14ac:dyDescent="0.25">
      <c r="B52" s="57"/>
      <c r="C52" s="57"/>
      <c r="D52" s="57"/>
      <c r="E52" s="57"/>
      <c r="G52" s="5" t="s">
        <v>61</v>
      </c>
      <c r="H52" t="s">
        <v>62</v>
      </c>
      <c r="I52">
        <v>2698040.9</v>
      </c>
      <c r="J52" s="4">
        <f t="shared" si="1"/>
        <v>2389.6558168371639</v>
      </c>
    </row>
    <row r="53" spans="2:29" x14ac:dyDescent="0.25">
      <c r="B53" s="57"/>
      <c r="C53" s="57"/>
      <c r="D53" s="57"/>
      <c r="E53" s="57"/>
      <c r="G53" s="5" t="s">
        <v>63</v>
      </c>
      <c r="H53" t="s">
        <v>64</v>
      </c>
      <c r="I53">
        <v>706644.25</v>
      </c>
      <c r="J53" s="4">
        <f t="shared" si="1"/>
        <v>625.87507196315494</v>
      </c>
    </row>
    <row r="54" spans="2:29" x14ac:dyDescent="0.25">
      <c r="B54" s="57"/>
      <c r="C54" s="57"/>
      <c r="D54" s="57"/>
      <c r="E54" s="57"/>
      <c r="G54" s="5" t="s">
        <v>65</v>
      </c>
      <c r="H54" t="s">
        <v>66</v>
      </c>
      <c r="I54">
        <v>11367901</v>
      </c>
      <c r="J54" s="4">
        <f t="shared" si="1"/>
        <v>10068.554094149949</v>
      </c>
    </row>
    <row r="55" spans="2:29" ht="15.75" thickBot="1" x14ac:dyDescent="0.3">
      <c r="B55" s="57"/>
      <c r="C55" s="57"/>
      <c r="D55" s="57"/>
      <c r="E55" s="57"/>
      <c r="G55" s="6" t="s">
        <v>67</v>
      </c>
      <c r="H55" s="7" t="s">
        <v>68</v>
      </c>
      <c r="I55" s="7">
        <v>370395.9</v>
      </c>
      <c r="J55" s="8">
        <f t="shared" si="1"/>
        <v>328.05978477481074</v>
      </c>
    </row>
    <row r="56" spans="2:29" x14ac:dyDescent="0.25">
      <c r="B56" s="57"/>
      <c r="C56" s="57"/>
      <c r="D56" s="57"/>
      <c r="E56" s="57"/>
    </row>
    <row r="57" spans="2:29" ht="15.75" thickBot="1" x14ac:dyDescent="0.3"/>
    <row r="58" spans="2:29" x14ac:dyDescent="0.25">
      <c r="C58" s="88" t="s">
        <v>567</v>
      </c>
      <c r="D58" s="89"/>
      <c r="E58" s="90"/>
      <c r="G58" s="88" t="s">
        <v>577</v>
      </c>
      <c r="H58" s="89"/>
      <c r="I58" s="90"/>
      <c r="K58" s="88" t="s">
        <v>580</v>
      </c>
      <c r="L58" s="89"/>
      <c r="M58" s="90"/>
      <c r="O58" s="88" t="s">
        <v>581</v>
      </c>
      <c r="P58" s="89"/>
      <c r="Q58" s="90"/>
      <c r="S58" s="88" t="s">
        <v>570</v>
      </c>
      <c r="T58" s="89"/>
      <c r="U58" s="90"/>
      <c r="W58" s="88" t="s">
        <v>574</v>
      </c>
      <c r="X58" s="89"/>
      <c r="Y58" s="90"/>
      <c r="AA58" s="88" t="s">
        <v>531</v>
      </c>
      <c r="AB58" s="89"/>
      <c r="AC58" s="90"/>
    </row>
    <row r="59" spans="2:29" x14ac:dyDescent="0.25">
      <c r="C59" s="67" t="s">
        <v>7</v>
      </c>
      <c r="D59" s="68"/>
      <c r="E59" s="69"/>
      <c r="G59" s="67" t="s">
        <v>7</v>
      </c>
      <c r="H59" s="68"/>
      <c r="I59" s="69"/>
      <c r="K59" s="67" t="s">
        <v>7</v>
      </c>
      <c r="L59" s="68"/>
      <c r="M59" s="69"/>
      <c r="O59" s="67" t="s">
        <v>7</v>
      </c>
      <c r="P59" s="68"/>
      <c r="Q59" s="69"/>
      <c r="S59" s="67" t="s">
        <v>7</v>
      </c>
      <c r="T59" s="68"/>
      <c r="U59" s="69"/>
      <c r="W59" s="67" t="s">
        <v>7</v>
      </c>
      <c r="X59" s="68"/>
      <c r="Y59" s="69"/>
      <c r="AA59" s="67" t="s">
        <v>7</v>
      </c>
      <c r="AB59" s="68"/>
      <c r="AC59" s="69"/>
    </row>
    <row r="60" spans="2:29" x14ac:dyDescent="0.25">
      <c r="C60" s="5" t="s">
        <v>10</v>
      </c>
      <c r="D60" t="s">
        <v>11</v>
      </c>
      <c r="E60" s="4" t="s">
        <v>12</v>
      </c>
      <c r="G60" s="5" t="s">
        <v>10</v>
      </c>
      <c r="H60" t="s">
        <v>11</v>
      </c>
      <c r="I60" s="4" t="s">
        <v>12</v>
      </c>
      <c r="K60" s="5" t="s">
        <v>10</v>
      </c>
      <c r="L60" t="s">
        <v>11</v>
      </c>
      <c r="M60" s="4" t="s">
        <v>12</v>
      </c>
      <c r="O60" s="5" t="s">
        <v>10</v>
      </c>
      <c r="P60" t="s">
        <v>11</v>
      </c>
      <c r="Q60" s="4" t="s">
        <v>12</v>
      </c>
      <c r="S60" s="5" t="s">
        <v>10</v>
      </c>
      <c r="T60" t="s">
        <v>11</v>
      </c>
      <c r="U60" s="4" t="s">
        <v>12</v>
      </c>
      <c r="W60" s="5" t="s">
        <v>10</v>
      </c>
      <c r="X60" t="s">
        <v>11</v>
      </c>
      <c r="Y60" s="4" t="s">
        <v>12</v>
      </c>
      <c r="AA60" s="5" t="s">
        <v>10</v>
      </c>
      <c r="AB60" t="s">
        <v>11</v>
      </c>
      <c r="AC60" s="4" t="s">
        <v>12</v>
      </c>
    </row>
    <row r="61" spans="2:29" x14ac:dyDescent="0.25">
      <c r="C61" s="49" t="s">
        <v>565</v>
      </c>
      <c r="D61">
        <v>5</v>
      </c>
      <c r="E61" s="4" t="s">
        <v>22</v>
      </c>
      <c r="G61" s="49" t="s">
        <v>576</v>
      </c>
      <c r="H61">
        <v>0.85</v>
      </c>
      <c r="I61" s="4" t="s">
        <v>22</v>
      </c>
      <c r="K61" s="5" t="s">
        <v>492</v>
      </c>
      <c r="L61">
        <v>0.13880000000000001</v>
      </c>
      <c r="M61" s="4" t="s">
        <v>22</v>
      </c>
      <c r="O61" s="5" t="s">
        <v>572</v>
      </c>
      <c r="P61">
        <v>1.1100000000000001</v>
      </c>
      <c r="Q61" s="4" t="s">
        <v>22</v>
      </c>
      <c r="S61" s="5" t="s">
        <v>593</v>
      </c>
      <c r="T61">
        <v>1.47</v>
      </c>
      <c r="U61" s="4" t="s">
        <v>22</v>
      </c>
      <c r="W61" s="5" t="s">
        <v>534</v>
      </c>
      <c r="X61">
        <v>0.17</v>
      </c>
      <c r="Y61" s="4" t="s">
        <v>22</v>
      </c>
      <c r="AA61" s="5" t="s">
        <v>555</v>
      </c>
      <c r="AB61">
        <v>9.0999999999999998E-2</v>
      </c>
      <c r="AC61" s="4" t="s">
        <v>22</v>
      </c>
    </row>
    <row r="62" spans="2:29" x14ac:dyDescent="0.25">
      <c r="C62" s="49" t="s">
        <v>566</v>
      </c>
      <c r="D62">
        <v>10.8</v>
      </c>
      <c r="E62" s="4" t="s">
        <v>22</v>
      </c>
      <c r="G62" s="5" t="s">
        <v>584</v>
      </c>
      <c r="H62">
        <v>1.1000000000000001</v>
      </c>
      <c r="I62" s="4" t="s">
        <v>22</v>
      </c>
      <c r="K62" s="5" t="s">
        <v>218</v>
      </c>
      <c r="L62">
        <v>0.86119999999999997</v>
      </c>
      <c r="M62" s="4" t="s">
        <v>22</v>
      </c>
      <c r="O62" s="5" t="s">
        <v>595</v>
      </c>
      <c r="P62" t="s">
        <v>596</v>
      </c>
      <c r="Q62" s="4" t="s">
        <v>22</v>
      </c>
      <c r="S62" s="5" t="s">
        <v>585</v>
      </c>
      <c r="T62">
        <v>17.899999999999999</v>
      </c>
      <c r="U62" s="4" t="s">
        <v>22</v>
      </c>
      <c r="W62" s="5" t="s">
        <v>533</v>
      </c>
      <c r="X62">
        <v>0.53</v>
      </c>
      <c r="Y62" s="4" t="s">
        <v>22</v>
      </c>
      <c r="AA62" s="5" t="s">
        <v>556</v>
      </c>
      <c r="AB62" s="12">
        <v>1.4000000000000001E-10</v>
      </c>
      <c r="AC62" s="4" t="s">
        <v>86</v>
      </c>
    </row>
    <row r="63" spans="2:29" x14ac:dyDescent="0.25">
      <c r="B63" t="s">
        <v>579</v>
      </c>
      <c r="C63" s="49" t="s">
        <v>568</v>
      </c>
      <c r="D63">
        <v>31.8</v>
      </c>
      <c r="E63" s="4" t="s">
        <v>22</v>
      </c>
      <c r="G63" s="5" t="s">
        <v>548</v>
      </c>
      <c r="H63">
        <v>0.1</v>
      </c>
      <c r="I63" s="4" t="s">
        <v>22</v>
      </c>
      <c r="K63" s="5"/>
      <c r="M63" s="4"/>
      <c r="O63" s="5" t="s">
        <v>76</v>
      </c>
      <c r="P63" s="12">
        <v>0.72699999999999998</v>
      </c>
      <c r="Q63" s="4" t="s">
        <v>174</v>
      </c>
      <c r="S63" s="5" t="s">
        <v>76</v>
      </c>
      <c r="T63">
        <v>0.42</v>
      </c>
      <c r="U63" s="4" t="s">
        <v>26</v>
      </c>
      <c r="W63" s="5" t="s">
        <v>523</v>
      </c>
      <c r="X63">
        <v>0.17</v>
      </c>
      <c r="Y63" s="4" t="s">
        <v>22</v>
      </c>
      <c r="AA63" s="5" t="s">
        <v>394</v>
      </c>
      <c r="AB63">
        <v>0.91</v>
      </c>
      <c r="AC63" s="4" t="s">
        <v>22</v>
      </c>
    </row>
    <row r="64" spans="2:29" x14ac:dyDescent="0.25">
      <c r="C64" s="5" t="s">
        <v>594</v>
      </c>
      <c r="D64">
        <v>8.6999999999999993</v>
      </c>
      <c r="E64" s="4" t="s">
        <v>22</v>
      </c>
      <c r="G64" s="5" t="s">
        <v>445</v>
      </c>
      <c r="H64">
        <v>0.05</v>
      </c>
      <c r="I64" s="4" t="s">
        <v>22</v>
      </c>
      <c r="K64" s="92" t="s">
        <v>161</v>
      </c>
      <c r="L64" s="93"/>
      <c r="M64" s="94"/>
      <c r="O64" s="5" t="s">
        <v>597</v>
      </c>
      <c r="P64" s="12">
        <v>0.28999999999999998</v>
      </c>
      <c r="Q64" s="4" t="s">
        <v>216</v>
      </c>
      <c r="S64" s="5"/>
      <c r="U64" s="4"/>
      <c r="W64" s="5" t="s">
        <v>524</v>
      </c>
      <c r="X64">
        <f>3.8*10^(-10)</f>
        <v>3.7999999999999998E-10</v>
      </c>
      <c r="Y64" s="4" t="s">
        <v>86</v>
      </c>
      <c r="AA64" s="5" t="s">
        <v>397</v>
      </c>
      <c r="AB64">
        <v>9.0999999999999998E-2</v>
      </c>
      <c r="AC64" s="4" t="s">
        <v>22</v>
      </c>
    </row>
    <row r="65" spans="3:29" ht="15.75" thickBot="1" x14ac:dyDescent="0.3">
      <c r="C65" s="5" t="s">
        <v>573</v>
      </c>
      <c r="D65">
        <v>1.58</v>
      </c>
      <c r="E65" s="4" t="s">
        <v>22</v>
      </c>
      <c r="G65" s="5" t="s">
        <v>76</v>
      </c>
      <c r="H65">
        <v>4.8300000000000003E-2</v>
      </c>
      <c r="I65" s="4" t="s">
        <v>578</v>
      </c>
      <c r="K65" s="43" t="s">
        <v>568</v>
      </c>
      <c r="L65" s="44">
        <v>1</v>
      </c>
      <c r="M65" s="45" t="s">
        <v>22</v>
      </c>
      <c r="O65" s="92" t="s">
        <v>161</v>
      </c>
      <c r="P65" s="93"/>
      <c r="Q65" s="94"/>
      <c r="S65" s="92" t="s">
        <v>161</v>
      </c>
      <c r="T65" s="93"/>
      <c r="U65" s="94"/>
      <c r="W65" s="5" t="s">
        <v>535</v>
      </c>
      <c r="X65">
        <v>0.25</v>
      </c>
      <c r="Y65" s="4" t="s">
        <v>22</v>
      </c>
      <c r="AA65" s="5" t="s">
        <v>557</v>
      </c>
      <c r="AB65">
        <v>0.91</v>
      </c>
      <c r="AC65" s="4" t="s">
        <v>22</v>
      </c>
    </row>
    <row r="66" spans="3:29" x14ac:dyDescent="0.25">
      <c r="C66" s="5" t="s">
        <v>569</v>
      </c>
      <c r="D66">
        <v>8.35</v>
      </c>
      <c r="E66" s="4" t="s">
        <v>22</v>
      </c>
      <c r="G66" s="5" t="s">
        <v>583</v>
      </c>
      <c r="H66">
        <v>1.1000000000000001</v>
      </c>
      <c r="I66" s="4" t="s">
        <v>22</v>
      </c>
      <c r="O66" s="32" t="s">
        <v>582</v>
      </c>
      <c r="P66" s="33">
        <v>1</v>
      </c>
      <c r="Q66" s="34" t="s">
        <v>22</v>
      </c>
      <c r="S66" s="32" t="s">
        <v>576</v>
      </c>
      <c r="T66" s="33">
        <v>1</v>
      </c>
      <c r="U66" s="34" t="s">
        <v>22</v>
      </c>
      <c r="W66" s="5" t="s">
        <v>537</v>
      </c>
      <c r="X66">
        <f>1.3*10^(-10)</f>
        <v>1.3000000000000002E-10</v>
      </c>
      <c r="Y66" s="4" t="s">
        <v>86</v>
      </c>
      <c r="AA66" s="5" t="s">
        <v>558</v>
      </c>
      <c r="AB66" s="12">
        <v>6.7000000000000001E-11</v>
      </c>
      <c r="AC66" s="4" t="s">
        <v>86</v>
      </c>
    </row>
    <row r="67" spans="3:29" x14ac:dyDescent="0.25">
      <c r="C67" s="5" t="s">
        <v>76</v>
      </c>
      <c r="D67">
        <v>10.56</v>
      </c>
      <c r="E67" s="4" t="s">
        <v>174</v>
      </c>
      <c r="G67" s="5" t="s">
        <v>208</v>
      </c>
      <c r="H67">
        <v>140.44999999999999</v>
      </c>
      <c r="I67" s="4" t="s">
        <v>26</v>
      </c>
      <c r="O67" s="5" t="s">
        <v>598</v>
      </c>
      <c r="P67" s="12">
        <v>7.8999999999999996E-5</v>
      </c>
      <c r="Q67" s="4" t="s">
        <v>22</v>
      </c>
      <c r="S67" s="5" t="s">
        <v>591</v>
      </c>
      <c r="T67">
        <v>0.3</v>
      </c>
      <c r="U67" s="4" t="s">
        <v>22</v>
      </c>
      <c r="W67" s="5" t="s">
        <v>526</v>
      </c>
      <c r="X67">
        <v>0.14499999999999999</v>
      </c>
      <c r="Y67" s="4" t="s">
        <v>426</v>
      </c>
      <c r="AA67" s="5" t="s">
        <v>526</v>
      </c>
      <c r="AB67">
        <v>0.15</v>
      </c>
      <c r="AC67" s="4" t="s">
        <v>426</v>
      </c>
    </row>
    <row r="68" spans="3:29" ht="15.75" thickBot="1" x14ac:dyDescent="0.3">
      <c r="C68" s="5"/>
      <c r="E68" s="4"/>
      <c r="G68" s="5"/>
      <c r="I68" s="4"/>
      <c r="O68" s="5" t="s">
        <v>599</v>
      </c>
      <c r="P68" s="12">
        <v>7.8999999999999996E-5</v>
      </c>
      <c r="Q68" s="4" t="s">
        <v>22</v>
      </c>
      <c r="S68" s="6" t="s">
        <v>586</v>
      </c>
      <c r="T68" s="7">
        <v>4.87</v>
      </c>
      <c r="U68" s="8" t="s">
        <v>22</v>
      </c>
      <c r="W68" s="5" t="s">
        <v>527</v>
      </c>
      <c r="X68">
        <v>0.14499999999999999</v>
      </c>
      <c r="Y68" s="4" t="s">
        <v>426</v>
      </c>
      <c r="AA68" s="5" t="s">
        <v>527</v>
      </c>
      <c r="AB68">
        <v>0.15</v>
      </c>
      <c r="AC68" s="4" t="s">
        <v>426</v>
      </c>
    </row>
    <row r="69" spans="3:29" ht="15.75" thickBot="1" x14ac:dyDescent="0.3">
      <c r="C69" s="92" t="s">
        <v>161</v>
      </c>
      <c r="D69" s="93"/>
      <c r="E69" s="94"/>
      <c r="G69" s="92" t="s">
        <v>161</v>
      </c>
      <c r="H69" s="93"/>
      <c r="I69" s="94"/>
      <c r="O69" s="6" t="s">
        <v>571</v>
      </c>
      <c r="P69" s="50">
        <v>4.4000000000000002E-4</v>
      </c>
      <c r="Q69" s="8" t="s">
        <v>22</v>
      </c>
      <c r="W69" s="5"/>
      <c r="Y69" s="4"/>
      <c r="AA69" s="5"/>
      <c r="AC69" s="4"/>
    </row>
    <row r="70" spans="3:29" ht="15.75" thickBot="1" x14ac:dyDescent="0.3">
      <c r="C70" s="43" t="s">
        <v>551</v>
      </c>
      <c r="D70" s="44">
        <v>1.4999999999999999E-2</v>
      </c>
      <c r="E70" s="45" t="s">
        <v>174</v>
      </c>
      <c r="G70" s="43" t="s">
        <v>565</v>
      </c>
      <c r="H70" s="44">
        <v>1</v>
      </c>
      <c r="I70" s="45" t="s">
        <v>22</v>
      </c>
      <c r="W70" s="46" t="s">
        <v>161</v>
      </c>
      <c r="X70" s="47"/>
      <c r="Y70" s="48"/>
      <c r="AA70" s="67" t="s">
        <v>544</v>
      </c>
      <c r="AB70" s="68"/>
      <c r="AC70" s="69"/>
    </row>
    <row r="71" spans="3:29" ht="15.75" thickBot="1" x14ac:dyDescent="0.3">
      <c r="W71" s="43" t="s">
        <v>606</v>
      </c>
      <c r="X71" s="44">
        <v>1</v>
      </c>
      <c r="Y71" s="45" t="s">
        <v>22</v>
      </c>
      <c r="AA71" s="22" t="s">
        <v>559</v>
      </c>
      <c r="AB71" s="23">
        <v>1</v>
      </c>
      <c r="AC71" s="24" t="s">
        <v>22</v>
      </c>
    </row>
    <row r="73" spans="3:29" x14ac:dyDescent="0.25">
      <c r="C73" t="s">
        <v>83</v>
      </c>
      <c r="D73" t="s">
        <v>588</v>
      </c>
    </row>
    <row r="74" spans="3:29" x14ac:dyDescent="0.25">
      <c r="D74" t="s">
        <v>589</v>
      </c>
    </row>
    <row r="75" spans="3:29" x14ac:dyDescent="0.25">
      <c r="D75" t="s">
        <v>592</v>
      </c>
    </row>
    <row r="76" spans="3:29" x14ac:dyDescent="0.25">
      <c r="D76" t="s">
        <v>601</v>
      </c>
    </row>
    <row r="77" spans="3:29" x14ac:dyDescent="0.25">
      <c r="D77" t="s">
        <v>674</v>
      </c>
    </row>
  </sheetData>
  <mergeCells count="43">
    <mergeCell ref="S58:U58"/>
    <mergeCell ref="S59:U59"/>
    <mergeCell ref="S65:U65"/>
    <mergeCell ref="O58:Q58"/>
    <mergeCell ref="O59:Q59"/>
    <mergeCell ref="O65:Q65"/>
    <mergeCell ref="K58:M58"/>
    <mergeCell ref="K59:M59"/>
    <mergeCell ref="K64:M64"/>
    <mergeCell ref="G9:I9"/>
    <mergeCell ref="B10:E10"/>
    <mergeCell ref="G10:I10"/>
    <mergeCell ref="B32:E32"/>
    <mergeCell ref="G32:J32"/>
    <mergeCell ref="G58:I58"/>
    <mergeCell ref="G59:I59"/>
    <mergeCell ref="G69:I69"/>
    <mergeCell ref="B33:D33"/>
    <mergeCell ref="C69:E69"/>
    <mergeCell ref="B6:E6"/>
    <mergeCell ref="G6:J6"/>
    <mergeCell ref="B7:D7"/>
    <mergeCell ref="G7:I7"/>
    <mergeCell ref="B8:D8"/>
    <mergeCell ref="G8:I8"/>
    <mergeCell ref="B2:C2"/>
    <mergeCell ref="C58:E58"/>
    <mergeCell ref="C59:E59"/>
    <mergeCell ref="G33:I33"/>
    <mergeCell ref="B34:D34"/>
    <mergeCell ref="G34:I34"/>
    <mergeCell ref="G35:I35"/>
    <mergeCell ref="B36:E36"/>
    <mergeCell ref="G36:I36"/>
    <mergeCell ref="B12:B21"/>
    <mergeCell ref="B22:B27"/>
    <mergeCell ref="B38:B45"/>
    <mergeCell ref="B46:B51"/>
    <mergeCell ref="W58:Y58"/>
    <mergeCell ref="W59:Y59"/>
    <mergeCell ref="AA58:AC58"/>
    <mergeCell ref="AA59:AC59"/>
    <mergeCell ref="AA70:AC7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PHES</vt:lpstr>
      <vt:lpstr>CAES</vt:lpstr>
      <vt:lpstr>Flywheel</vt:lpstr>
      <vt:lpstr>Li-ion (LFP)</vt:lpstr>
      <vt:lpstr>Na-ion (MMO)</vt:lpstr>
      <vt:lpstr>Lead acid</vt:lpstr>
      <vt:lpstr>VRFB</vt:lpstr>
      <vt:lpstr>Hydrogen</vt:lpstr>
      <vt:lpstr>Supercapacitor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Thran, Jacob</dc:creator>
  <cp:lastModifiedBy>Thran, Jacob</cp:lastModifiedBy>
  <dcterms:created xsi:type="dcterms:W3CDTF">2026-07-07T14:45:47Z</dcterms:created>
  <dcterms:modified xsi:type="dcterms:W3CDTF">2026-10-26T13:42:50Z</dcterms:modified>
</cp:coreProperties>
</file>